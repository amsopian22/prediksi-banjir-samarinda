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curah_hujan_mm</t>
        </is>
      </c>
      <c r="C1" s="1" t="inlineStr">
        <is>
          <t>durasi_hujan_jam</t>
        </is>
      </c>
      <c r="D1" s="1" t="inlineStr">
        <is>
          <t>link_google</t>
        </is>
      </c>
      <c r="E1" s="1" t="inlineStr">
        <is>
          <t>is_banjir</t>
        </is>
      </c>
    </row>
    <row r="2">
      <c r="A2" t="inlineStr">
        <is>
          <t>2020-12-04</t>
        </is>
      </c>
      <c r="B2" t="n">
        <v>25</v>
      </c>
      <c r="C2" t="n">
        <v>18</v>
      </c>
      <c r="D2">
        <f>HYPERLINK("https://www.google.com/search?q=Banjir+Samarinda+04+Desember+2020", "Cek Google: 04 Desember 2020")</f>
        <v/>
      </c>
      <c r="E2" t="inlineStr"/>
    </row>
    <row r="3">
      <c r="A3" t="inlineStr">
        <is>
          <t>2020-12-08</t>
        </is>
      </c>
      <c r="B3" t="n">
        <v>27.4</v>
      </c>
      <c r="C3" t="n">
        <v>16</v>
      </c>
      <c r="D3">
        <f>HYPERLINK("https://www.google.com/search?q=Banjir+Samarinda+08+Desember+2020", "Cek Google: 08 Desember 2020")</f>
        <v/>
      </c>
      <c r="E3" t="inlineStr"/>
    </row>
    <row r="4">
      <c r="A4" t="inlineStr">
        <is>
          <t>2020-12-12</t>
        </is>
      </c>
      <c r="B4" t="n">
        <v>23.7</v>
      </c>
      <c r="C4" t="n">
        <v>13</v>
      </c>
      <c r="D4">
        <f>HYPERLINK("https://www.google.com/search?q=Banjir+Samarinda+12+Desember+2020", "Cek Google: 12 Desember 2020")</f>
        <v/>
      </c>
      <c r="E4" t="inlineStr"/>
    </row>
    <row r="5">
      <c r="A5" t="inlineStr">
        <is>
          <t>2020-12-17</t>
        </is>
      </c>
      <c r="B5" t="n">
        <v>29.3</v>
      </c>
      <c r="C5" t="n">
        <v>20</v>
      </c>
      <c r="D5">
        <f>HYPERLINK("https://www.google.com/search?q=Banjir+Samarinda+17+Desember+2020", "Cek Google: 17 Desember 2020")</f>
        <v/>
      </c>
      <c r="E5" t="inlineStr"/>
    </row>
    <row r="6">
      <c r="A6" t="inlineStr">
        <is>
          <t>2020-12-26</t>
        </is>
      </c>
      <c r="B6" t="n">
        <v>21.5</v>
      </c>
      <c r="C6" t="n">
        <v>12</v>
      </c>
      <c r="D6">
        <f>HYPERLINK("https://www.google.com/search?q=Banjir+Samarinda+26+Desember+2020", "Cek Google: 26 Desember 2020")</f>
        <v/>
      </c>
      <c r="E6" t="inlineStr"/>
    </row>
    <row r="7">
      <c r="A7" t="inlineStr">
        <is>
          <t>2021-01-03</t>
        </is>
      </c>
      <c r="B7" t="n">
        <v>20.5</v>
      </c>
      <c r="C7" t="n">
        <v>13</v>
      </c>
      <c r="D7">
        <f>HYPERLINK("https://www.google.com/search?q=Banjir+Samarinda+03+Januari+2021", "Cek Google: 03 Januari 2021")</f>
        <v/>
      </c>
      <c r="E7" t="inlineStr"/>
    </row>
    <row r="8">
      <c r="A8" t="inlineStr">
        <is>
          <t>2021-01-13</t>
        </is>
      </c>
      <c r="B8" t="n">
        <v>26.3</v>
      </c>
      <c r="C8" t="n">
        <v>20</v>
      </c>
      <c r="D8">
        <f>HYPERLINK("https://www.google.com/search?q=Banjir+Samarinda+13+Januari+2021", "Cek Google: 13 Januari 2021")</f>
        <v/>
      </c>
      <c r="E8" t="inlineStr"/>
    </row>
    <row r="9">
      <c r="A9" t="inlineStr">
        <is>
          <t>2021-01-21</t>
        </is>
      </c>
      <c r="B9" t="n">
        <v>30.7</v>
      </c>
      <c r="C9" t="n">
        <v>18</v>
      </c>
      <c r="D9">
        <f>HYPERLINK("https://www.google.com/search?q=Banjir+Samarinda+21+Januari+2021", "Cek Google: 21 Januari 2021")</f>
        <v/>
      </c>
      <c r="E9" t="inlineStr"/>
    </row>
    <row r="10">
      <c r="A10" t="inlineStr">
        <is>
          <t>2021-02-13</t>
        </is>
      </c>
      <c r="B10" t="n">
        <v>24.2</v>
      </c>
      <c r="C10" t="n">
        <v>17</v>
      </c>
      <c r="D10">
        <f>HYPERLINK("https://www.google.com/search?q=Banjir+Samarinda+13+Februari+2021", "Cek Google: 13 Februari 2021")</f>
        <v/>
      </c>
      <c r="E10" t="inlineStr"/>
    </row>
    <row r="11">
      <c r="A11" t="inlineStr">
        <is>
          <t>2021-02-18</t>
        </is>
      </c>
      <c r="B11" t="n">
        <v>25.1</v>
      </c>
      <c r="C11" t="n">
        <v>21</v>
      </c>
      <c r="D11">
        <f>HYPERLINK("https://www.google.com/search?q=Banjir+Samarinda+18+Februari+2021", "Cek Google: 18 Februari 2021")</f>
        <v/>
      </c>
      <c r="E11" t="inlineStr"/>
    </row>
    <row r="12">
      <c r="A12" t="inlineStr">
        <is>
          <t>2021-02-22</t>
        </is>
      </c>
      <c r="B12" t="n">
        <v>20.3</v>
      </c>
      <c r="C12" t="n">
        <v>16</v>
      </c>
      <c r="D12">
        <f>HYPERLINK("https://www.google.com/search?q=Banjir+Samarinda+22+Februari+2021", "Cek Google: 22 Februari 2021")</f>
        <v/>
      </c>
      <c r="E12" t="inlineStr"/>
    </row>
    <row r="13">
      <c r="A13" t="inlineStr">
        <is>
          <t>2021-03-09</t>
        </is>
      </c>
      <c r="B13" t="n">
        <v>21.8</v>
      </c>
      <c r="C13" t="n">
        <v>20</v>
      </c>
      <c r="D13">
        <f>HYPERLINK("https://www.google.com/search?q=Banjir+Samarinda+09+Maret+2021", "Cek Google: 09 Maret 2021")</f>
        <v/>
      </c>
      <c r="E13" t="inlineStr"/>
    </row>
    <row r="14">
      <c r="A14" t="inlineStr">
        <is>
          <t>2021-03-20</t>
        </is>
      </c>
      <c r="B14" t="n">
        <v>27.2</v>
      </c>
      <c r="C14" t="n">
        <v>12</v>
      </c>
      <c r="D14">
        <f>HYPERLINK("https://www.google.com/search?q=Banjir+Samarinda+20+Maret+2021", "Cek Google: 20 Maret 2021")</f>
        <v/>
      </c>
      <c r="E14" t="inlineStr"/>
    </row>
    <row r="15">
      <c r="A15" t="inlineStr">
        <is>
          <t>2021-04-03</t>
        </is>
      </c>
      <c r="B15" t="n">
        <v>35</v>
      </c>
      <c r="C15" t="n">
        <v>10</v>
      </c>
      <c r="D15">
        <f>HYPERLINK("https://www.google.com/search?q=Banjir+Samarinda+03+April+2021", "Cek Google: 03 April 2021")</f>
        <v/>
      </c>
      <c r="E15" t="inlineStr"/>
    </row>
    <row r="16">
      <c r="A16" t="inlineStr">
        <is>
          <t>2021-04-18</t>
        </is>
      </c>
      <c r="B16" t="n">
        <v>36</v>
      </c>
      <c r="C16" t="n">
        <v>13</v>
      </c>
      <c r="D16">
        <f>HYPERLINK("https://www.google.com/search?q=Banjir+Samarinda+18+April+2021", "Cek Google: 18 April 2021")</f>
        <v/>
      </c>
      <c r="E16" t="inlineStr"/>
    </row>
    <row r="17">
      <c r="A17" t="inlineStr">
        <is>
          <t>2021-06-10</t>
        </is>
      </c>
      <c r="B17" t="n">
        <v>21.7</v>
      </c>
      <c r="C17" t="n">
        <v>14</v>
      </c>
      <c r="D17">
        <f>HYPERLINK("https://www.google.com/search?q=Banjir+Samarinda+10+Juni+2021", "Cek Google: 10 Juni 2021")</f>
        <v/>
      </c>
      <c r="E17" t="inlineStr"/>
    </row>
    <row r="18">
      <c r="A18" t="inlineStr">
        <is>
          <t>2021-06-12</t>
        </is>
      </c>
      <c r="B18" t="n">
        <v>27.4</v>
      </c>
      <c r="C18" t="n">
        <v>16</v>
      </c>
      <c r="D18">
        <f>HYPERLINK("https://www.google.com/search?q=Banjir+Samarinda+12+Juni+2021", "Cek Google: 12 Juni 2021")</f>
        <v/>
      </c>
      <c r="E18" t="inlineStr"/>
    </row>
    <row r="19">
      <c r="A19" t="inlineStr">
        <is>
          <t>2021-06-29</t>
        </is>
      </c>
      <c r="B19" t="n">
        <v>27.5</v>
      </c>
      <c r="C19" t="n">
        <v>15</v>
      </c>
      <c r="D19">
        <f>HYPERLINK("https://www.google.com/search?q=Banjir+Samarinda+29+Juni+2021", "Cek Google: 29 Juni 2021")</f>
        <v/>
      </c>
      <c r="E19" t="inlineStr"/>
    </row>
    <row r="20">
      <c r="A20" t="inlineStr">
        <is>
          <t>2021-07-08</t>
        </is>
      </c>
      <c r="B20" t="n">
        <v>35.2</v>
      </c>
      <c r="C20" t="n">
        <v>17</v>
      </c>
      <c r="D20">
        <f>HYPERLINK("https://www.google.com/search?q=Banjir+Samarinda+08+Juli+2021", "Cek Google: 08 Juli 2021")</f>
        <v/>
      </c>
      <c r="E20" t="inlineStr"/>
    </row>
    <row r="21">
      <c r="A21" t="inlineStr">
        <is>
          <t>2021-07-12</t>
        </is>
      </c>
      <c r="B21" t="n">
        <v>24.9</v>
      </c>
      <c r="C21" t="n">
        <v>14</v>
      </c>
      <c r="D21">
        <f>HYPERLINK("https://www.google.com/search?q=Banjir+Samarinda+12+Juli+2021", "Cek Google: 12 Juli 2021")</f>
        <v/>
      </c>
      <c r="E21" t="inlineStr"/>
    </row>
    <row r="22">
      <c r="A22" t="inlineStr">
        <is>
          <t>2021-07-14</t>
        </is>
      </c>
      <c r="B22" t="n">
        <v>30.7</v>
      </c>
      <c r="C22" t="n">
        <v>22</v>
      </c>
      <c r="D22">
        <f>HYPERLINK("https://www.google.com/search?q=Banjir+Samarinda+14+Juli+2021", "Cek Google: 14 Juli 2021")</f>
        <v/>
      </c>
      <c r="E22" t="inlineStr"/>
    </row>
    <row r="23">
      <c r="A23" t="inlineStr">
        <is>
          <t>2021-07-21</t>
        </is>
      </c>
      <c r="B23" t="n">
        <v>25.8</v>
      </c>
      <c r="C23" t="n">
        <v>15</v>
      </c>
      <c r="D23">
        <f>HYPERLINK("https://www.google.com/search?q=Banjir+Samarinda+21+Juli+2021", "Cek Google: 21 Juli 2021")</f>
        <v/>
      </c>
      <c r="E23" t="inlineStr"/>
    </row>
    <row r="24">
      <c r="A24" t="inlineStr">
        <is>
          <t>2021-08-13</t>
        </is>
      </c>
      <c r="B24" t="n">
        <v>51.2</v>
      </c>
      <c r="C24" t="n">
        <v>21</v>
      </c>
      <c r="D24">
        <f>HYPERLINK("https://www.google.com/search?q=Banjir+Samarinda+13+Agustus+2021", "Cek Google: 13 Agustus 2021")</f>
        <v/>
      </c>
      <c r="E24" t="inlineStr"/>
    </row>
    <row r="25">
      <c r="A25" t="inlineStr">
        <is>
          <t>2021-08-19</t>
        </is>
      </c>
      <c r="B25" t="n">
        <v>24.1</v>
      </c>
      <c r="C25" t="n">
        <v>16</v>
      </c>
      <c r="D25">
        <f>HYPERLINK("https://www.google.com/search?q=Banjir+Samarinda+19+Agustus+2021", "Cek Google: 19 Agustus 2021")</f>
        <v/>
      </c>
      <c r="E25" t="inlineStr"/>
    </row>
    <row r="26">
      <c r="A26" t="inlineStr">
        <is>
          <t>2021-08-20</t>
        </is>
      </c>
      <c r="B26" t="n">
        <v>20.9</v>
      </c>
      <c r="C26" t="n">
        <v>17</v>
      </c>
      <c r="D26">
        <f>HYPERLINK("https://www.google.com/search?q=Banjir+Samarinda+20+Agustus+2021", "Cek Google: 20 Agustus 2021")</f>
        <v/>
      </c>
      <c r="E26" t="inlineStr"/>
    </row>
    <row r="27">
      <c r="A27" t="inlineStr">
        <is>
          <t>2021-08-21</t>
        </is>
      </c>
      <c r="B27" t="n">
        <v>22.7</v>
      </c>
      <c r="C27" t="n">
        <v>19</v>
      </c>
      <c r="D27">
        <f>HYPERLINK("https://www.google.com/search?q=Banjir+Samarinda+21+Agustus+2021", "Cek Google: 21 Agustus 2021")</f>
        <v/>
      </c>
      <c r="E27" t="inlineStr"/>
    </row>
    <row r="28">
      <c r="A28" t="inlineStr">
        <is>
          <t>2021-08-24</t>
        </is>
      </c>
      <c r="B28" t="n">
        <v>20.6</v>
      </c>
      <c r="C28" t="n">
        <v>10</v>
      </c>
      <c r="D28">
        <f>HYPERLINK("https://www.google.com/search?q=Banjir+Samarinda+24+Agustus+2021", "Cek Google: 24 Agustus 2021")</f>
        <v/>
      </c>
      <c r="E28" t="inlineStr"/>
    </row>
    <row r="29">
      <c r="A29" t="inlineStr">
        <is>
          <t>2021-08-28</t>
        </is>
      </c>
      <c r="B29" t="n">
        <v>22.7</v>
      </c>
      <c r="C29" t="n">
        <v>20</v>
      </c>
      <c r="D29">
        <f>HYPERLINK("https://www.google.com/search?q=Banjir+Samarinda+28+Agustus+2021", "Cek Google: 28 Agustus 2021")</f>
        <v/>
      </c>
      <c r="E29" t="inlineStr"/>
    </row>
    <row r="30">
      <c r="A30" t="inlineStr">
        <is>
          <t>2021-09-03</t>
        </is>
      </c>
      <c r="B30" t="n">
        <v>104</v>
      </c>
      <c r="C30" t="n">
        <v>22</v>
      </c>
      <c r="D30">
        <f>HYPERLINK("https://www.google.com/search?q=Banjir+Samarinda+03+September+2021", "Cek Google: 03 September 2021")</f>
        <v/>
      </c>
      <c r="E30" t="inlineStr"/>
    </row>
    <row r="31">
      <c r="A31" t="inlineStr">
        <is>
          <t>2021-09-05</t>
        </is>
      </c>
      <c r="B31" t="n">
        <v>29.3</v>
      </c>
      <c r="C31" t="n">
        <v>19</v>
      </c>
      <c r="D31">
        <f>HYPERLINK("https://www.google.com/search?q=Banjir+Samarinda+05+September+2021", "Cek Google: 05 September 2021")</f>
        <v/>
      </c>
      <c r="E31" t="inlineStr"/>
    </row>
    <row r="32">
      <c r="A32" t="inlineStr">
        <is>
          <t>2021-09-09</t>
        </is>
      </c>
      <c r="B32" t="n">
        <v>29.5</v>
      </c>
      <c r="C32" t="n">
        <v>18</v>
      </c>
      <c r="D32">
        <f>HYPERLINK("https://www.google.com/search?q=Banjir+Samarinda+09+September+2021", "Cek Google: 09 September 2021")</f>
        <v/>
      </c>
      <c r="E32" t="inlineStr"/>
    </row>
    <row r="33">
      <c r="A33" t="inlineStr">
        <is>
          <t>2021-09-12</t>
        </is>
      </c>
      <c r="B33" t="n">
        <v>25.5</v>
      </c>
      <c r="C33" t="n">
        <v>18</v>
      </c>
      <c r="D33">
        <f>HYPERLINK("https://www.google.com/search?q=Banjir+Samarinda+12+September+2021", "Cek Google: 12 September 2021")</f>
        <v/>
      </c>
      <c r="E33" t="inlineStr"/>
    </row>
    <row r="34">
      <c r="A34" t="inlineStr">
        <is>
          <t>2021-09-15</t>
        </is>
      </c>
      <c r="B34" t="n">
        <v>30.7</v>
      </c>
      <c r="C34" t="n">
        <v>22</v>
      </c>
      <c r="D34">
        <f>HYPERLINK("https://www.google.com/search?q=Banjir+Samarinda+15+September+2021", "Cek Google: 15 September 2021")</f>
        <v/>
      </c>
      <c r="E34" t="inlineStr"/>
    </row>
    <row r="35">
      <c r="A35" t="inlineStr">
        <is>
          <t>2021-09-20</t>
        </is>
      </c>
      <c r="B35" t="n">
        <v>20.5</v>
      </c>
      <c r="C35" t="n">
        <v>19</v>
      </c>
      <c r="D35">
        <f>HYPERLINK("https://www.google.com/search?q=Banjir+Samarinda+20+September+2021", "Cek Google: 20 September 2021")</f>
        <v/>
      </c>
      <c r="E35" t="inlineStr"/>
    </row>
    <row r="36">
      <c r="A36" t="inlineStr">
        <is>
          <t>2021-09-21</t>
        </is>
      </c>
      <c r="B36" t="n">
        <v>36.3</v>
      </c>
      <c r="C36" t="n">
        <v>23</v>
      </c>
      <c r="D36">
        <f>HYPERLINK("https://www.google.com/search?q=Banjir+Samarinda+21+September+2021", "Cek Google: 21 September 2021")</f>
        <v/>
      </c>
      <c r="E36" t="inlineStr"/>
    </row>
    <row r="37">
      <c r="A37" t="inlineStr">
        <is>
          <t>2021-09-29</t>
        </is>
      </c>
      <c r="B37" t="n">
        <v>31.5</v>
      </c>
      <c r="C37" t="n">
        <v>19</v>
      </c>
      <c r="D37">
        <f>HYPERLINK("https://www.google.com/search?q=Banjir+Samarinda+29+September+2021", "Cek Google: 29 September 2021")</f>
        <v/>
      </c>
      <c r="E37" t="inlineStr"/>
    </row>
    <row r="38">
      <c r="A38" t="inlineStr">
        <is>
          <t>2021-10-04</t>
        </is>
      </c>
      <c r="B38" t="n">
        <v>26.5</v>
      </c>
      <c r="C38" t="n">
        <v>19</v>
      </c>
      <c r="D38">
        <f>HYPERLINK("https://www.google.com/search?q=Banjir+Samarinda+04+Oktober+2021", "Cek Google: 04 Oktober 2021")</f>
        <v/>
      </c>
      <c r="E38" t="inlineStr"/>
    </row>
    <row r="39">
      <c r="A39" t="inlineStr">
        <is>
          <t>2021-10-10</t>
        </is>
      </c>
      <c r="B39" t="n">
        <v>26.8</v>
      </c>
      <c r="C39" t="n">
        <v>11</v>
      </c>
      <c r="D39">
        <f>HYPERLINK("https://www.google.com/search?q=Banjir+Samarinda+10+Oktober+2021", "Cek Google: 10 Oktober 2021")</f>
        <v/>
      </c>
      <c r="E39" t="inlineStr"/>
    </row>
    <row r="40">
      <c r="A40" t="inlineStr">
        <is>
          <t>2021-10-22</t>
        </is>
      </c>
      <c r="B40" t="n">
        <v>27.6</v>
      </c>
      <c r="C40" t="n">
        <v>16</v>
      </c>
      <c r="D40">
        <f>HYPERLINK("https://www.google.com/search?q=Banjir+Samarinda+22+Oktober+2021", "Cek Google: 22 Oktober 2021")</f>
        <v/>
      </c>
      <c r="E40" t="inlineStr"/>
    </row>
    <row r="41">
      <c r="A41" t="inlineStr">
        <is>
          <t>2021-10-29</t>
        </is>
      </c>
      <c r="B41" t="n">
        <v>29.6</v>
      </c>
      <c r="C41" t="n">
        <v>18</v>
      </c>
      <c r="D41">
        <f>HYPERLINK("https://www.google.com/search?q=Banjir+Samarinda+29+Oktober+2021", "Cek Google: 29 Oktober 2021")</f>
        <v/>
      </c>
      <c r="E41" t="inlineStr"/>
    </row>
    <row r="42">
      <c r="A42" t="inlineStr">
        <is>
          <t>2021-10-30</t>
        </is>
      </c>
      <c r="B42" t="n">
        <v>22.7</v>
      </c>
      <c r="C42" t="n">
        <v>13</v>
      </c>
      <c r="D42">
        <f>HYPERLINK("https://www.google.com/search?q=Banjir+Samarinda+30+Oktober+2021", "Cek Google: 30 Oktober 2021")</f>
        <v/>
      </c>
      <c r="E42" t="inlineStr"/>
    </row>
    <row r="43">
      <c r="A43" t="inlineStr">
        <is>
          <t>2021-11-05</t>
        </is>
      </c>
      <c r="B43" t="n">
        <v>33.1</v>
      </c>
      <c r="C43" t="n">
        <v>16</v>
      </c>
      <c r="D43">
        <f>HYPERLINK("https://www.google.com/search?q=Banjir+Samarinda+05+November+2021", "Cek Google: 05 November 2021")</f>
        <v/>
      </c>
      <c r="E43" t="inlineStr"/>
    </row>
    <row r="44">
      <c r="A44" t="inlineStr">
        <is>
          <t>2021-11-08</t>
        </is>
      </c>
      <c r="B44" t="n">
        <v>40.9</v>
      </c>
      <c r="C44" t="n">
        <v>15</v>
      </c>
      <c r="D44">
        <f>HYPERLINK("https://www.google.com/search?q=Banjir+Samarinda+08+November+2021", "Cek Google: 08 November 2021")</f>
        <v/>
      </c>
      <c r="E44" t="inlineStr"/>
    </row>
    <row r="45">
      <c r="A45" t="inlineStr">
        <is>
          <t>2021-11-10</t>
        </is>
      </c>
      <c r="B45" t="n">
        <v>28.6</v>
      </c>
      <c r="C45" t="n">
        <v>13</v>
      </c>
      <c r="D45">
        <f>HYPERLINK("https://www.google.com/search?q=Banjir+Samarinda+10+November+2021", "Cek Google: 10 November 2021")</f>
        <v/>
      </c>
      <c r="E45" t="inlineStr"/>
    </row>
    <row r="46">
      <c r="A46" t="inlineStr">
        <is>
          <t>2021-11-12</t>
        </is>
      </c>
      <c r="B46" t="n">
        <v>27.5</v>
      </c>
      <c r="C46" t="n">
        <v>21</v>
      </c>
      <c r="D46">
        <f>HYPERLINK("https://www.google.com/search?q=Banjir+Samarinda+12+November+2021", "Cek Google: 12 November 2021")</f>
        <v/>
      </c>
      <c r="E46" t="inlineStr"/>
    </row>
    <row r="47">
      <c r="A47" t="inlineStr">
        <is>
          <t>2021-11-15</t>
        </is>
      </c>
      <c r="B47" t="n">
        <v>25.1</v>
      </c>
      <c r="C47" t="n">
        <v>15</v>
      </c>
      <c r="D47">
        <f>HYPERLINK("https://www.google.com/search?q=Banjir+Samarinda+15+November+2021", "Cek Google: 15 November 2021")</f>
        <v/>
      </c>
      <c r="E47" t="inlineStr"/>
    </row>
    <row r="48">
      <c r="A48" t="inlineStr">
        <is>
          <t>2021-11-16</t>
        </is>
      </c>
      <c r="B48" t="n">
        <v>24.8</v>
      </c>
      <c r="C48" t="n">
        <v>15</v>
      </c>
      <c r="D48">
        <f>HYPERLINK("https://www.google.com/search?q=Banjir+Samarinda+16+November+2021", "Cek Google: 16 November 2021")</f>
        <v/>
      </c>
      <c r="E48" t="inlineStr"/>
    </row>
    <row r="49">
      <c r="A49" t="inlineStr">
        <is>
          <t>2021-11-19</t>
        </is>
      </c>
      <c r="B49" t="n">
        <v>25.2</v>
      </c>
      <c r="C49" t="n">
        <v>18</v>
      </c>
      <c r="D49">
        <f>HYPERLINK("https://www.google.com/search?q=Banjir+Samarinda+19+November+2021", "Cek Google: 19 November 2021")</f>
        <v/>
      </c>
      <c r="E49" t="inlineStr"/>
    </row>
    <row r="50">
      <c r="A50" t="inlineStr">
        <is>
          <t>2021-11-20</t>
        </is>
      </c>
      <c r="B50" t="n">
        <v>23.7</v>
      </c>
      <c r="C50" t="n">
        <v>15</v>
      </c>
      <c r="D50">
        <f>HYPERLINK("https://www.google.com/search?q=Banjir+Samarinda+20+November+2021", "Cek Google: 20 November 2021")</f>
        <v/>
      </c>
      <c r="E50" t="inlineStr"/>
    </row>
    <row r="51">
      <c r="A51" t="inlineStr">
        <is>
          <t>2021-11-24</t>
        </is>
      </c>
      <c r="B51" t="n">
        <v>29.2</v>
      </c>
      <c r="C51" t="n">
        <v>16</v>
      </c>
      <c r="D51">
        <f>HYPERLINK("https://www.google.com/search?q=Banjir+Samarinda+24+November+2021", "Cek Google: 24 November 2021")</f>
        <v/>
      </c>
      <c r="E51" t="inlineStr"/>
    </row>
    <row r="52">
      <c r="A52" t="inlineStr">
        <is>
          <t>2021-11-25</t>
        </is>
      </c>
      <c r="B52" t="n">
        <v>32.8</v>
      </c>
      <c r="C52" t="n">
        <v>12</v>
      </c>
      <c r="D52">
        <f>HYPERLINK("https://www.google.com/search?q=Banjir+Samarinda+25+November+2021", "Cek Google: 25 November 2021")</f>
        <v/>
      </c>
      <c r="E52" t="inlineStr"/>
    </row>
    <row r="53">
      <c r="A53" t="inlineStr">
        <is>
          <t>2021-11-26</t>
        </is>
      </c>
      <c r="B53" t="n">
        <v>39</v>
      </c>
      <c r="C53" t="n">
        <v>21</v>
      </c>
      <c r="D53">
        <f>HYPERLINK("https://www.google.com/search?q=Banjir+Samarinda+26+November+2021", "Cek Google: 26 November 2021")</f>
        <v/>
      </c>
      <c r="E53" t="inlineStr"/>
    </row>
    <row r="54">
      <c r="A54" t="inlineStr">
        <is>
          <t>2021-11-28</t>
        </is>
      </c>
      <c r="B54" t="n">
        <v>77.5</v>
      </c>
      <c r="C54" t="n">
        <v>23</v>
      </c>
      <c r="D54">
        <f>HYPERLINK("https://www.google.com/search?q=Banjir+Samarinda+28+November+2021", "Cek Google: 28 November 2021")</f>
        <v/>
      </c>
      <c r="E54" t="inlineStr"/>
    </row>
    <row r="55">
      <c r="A55" t="inlineStr">
        <is>
          <t>2021-12-10</t>
        </is>
      </c>
      <c r="B55" t="n">
        <v>21.8</v>
      </c>
      <c r="C55" t="n">
        <v>15</v>
      </c>
      <c r="D55">
        <f>HYPERLINK("https://www.google.com/search?q=Banjir+Samarinda+10+Desember+2021", "Cek Google: 10 Desember 2021")</f>
        <v/>
      </c>
      <c r="E55" t="inlineStr"/>
    </row>
    <row r="56">
      <c r="A56" t="inlineStr">
        <is>
          <t>2021-12-18</t>
        </is>
      </c>
      <c r="B56" t="n">
        <v>33.2</v>
      </c>
      <c r="C56" t="n">
        <v>13</v>
      </c>
      <c r="D56">
        <f>HYPERLINK("https://www.google.com/search?q=Banjir+Samarinda+18+Desember+2021", "Cek Google: 18 Desember 2021")</f>
        <v/>
      </c>
      <c r="E56" t="inlineStr"/>
    </row>
    <row r="57">
      <c r="A57" t="inlineStr">
        <is>
          <t>2021-12-20</t>
        </is>
      </c>
      <c r="B57" t="n">
        <v>26.7</v>
      </c>
      <c r="C57" t="n">
        <v>18</v>
      </c>
      <c r="D57">
        <f>HYPERLINK("https://www.google.com/search?q=Banjir+Samarinda+20+Desember+2021", "Cek Google: 20 Desember 2021")</f>
        <v/>
      </c>
      <c r="E57" t="inlineStr"/>
    </row>
    <row r="58">
      <c r="A58" t="inlineStr">
        <is>
          <t>2021-12-23</t>
        </is>
      </c>
      <c r="B58" t="n">
        <v>20.5</v>
      </c>
      <c r="C58" t="n">
        <v>13</v>
      </c>
      <c r="D58">
        <f>HYPERLINK("https://www.google.com/search?q=Banjir+Samarinda+23+Desember+2021", "Cek Google: 23 Desember 2021")</f>
        <v/>
      </c>
      <c r="E58" t="inlineStr"/>
    </row>
    <row r="59">
      <c r="A59" t="inlineStr">
        <is>
          <t>2022-01-03</t>
        </is>
      </c>
      <c r="B59" t="n">
        <v>22.7</v>
      </c>
      <c r="C59" t="n">
        <v>19</v>
      </c>
      <c r="D59">
        <f>HYPERLINK("https://www.google.com/search?q=Banjir+Samarinda+03+Januari+2022", "Cek Google: 03 Januari 2022")</f>
        <v/>
      </c>
      <c r="E59" t="inlineStr"/>
    </row>
    <row r="60">
      <c r="A60" t="inlineStr">
        <is>
          <t>2022-01-19</t>
        </is>
      </c>
      <c r="B60" t="n">
        <v>23.8</v>
      </c>
      <c r="C60" t="n">
        <v>17</v>
      </c>
      <c r="D60">
        <f>HYPERLINK("https://www.google.com/search?q=Banjir+Samarinda+19+Januari+2022", "Cek Google: 19 Januari 2022")</f>
        <v/>
      </c>
      <c r="E60" t="inlineStr"/>
    </row>
    <row r="61">
      <c r="A61" t="inlineStr">
        <is>
          <t>2022-01-20</t>
        </is>
      </c>
      <c r="B61" t="n">
        <v>41.3</v>
      </c>
      <c r="C61" t="n">
        <v>12</v>
      </c>
      <c r="D61">
        <f>HYPERLINK("https://www.google.com/search?q=Banjir+Samarinda+20+Januari+2022", "Cek Google: 20 Januari 2022")</f>
        <v/>
      </c>
      <c r="E61" t="inlineStr"/>
    </row>
    <row r="62">
      <c r="A62" t="inlineStr">
        <is>
          <t>2022-01-28</t>
        </is>
      </c>
      <c r="B62" t="n">
        <v>35.6</v>
      </c>
      <c r="C62" t="n">
        <v>16</v>
      </c>
      <c r="D62">
        <f>HYPERLINK("https://www.google.com/search?q=Banjir+Samarinda+28+Januari+2022", "Cek Google: 28 Januari 2022")</f>
        <v/>
      </c>
      <c r="E62" t="inlineStr"/>
    </row>
    <row r="63">
      <c r="A63" t="inlineStr">
        <is>
          <t>2022-02-10</t>
        </is>
      </c>
      <c r="B63" t="n">
        <v>22.7</v>
      </c>
      <c r="C63" t="n">
        <v>15</v>
      </c>
      <c r="D63">
        <f>HYPERLINK("https://www.google.com/search?q=Banjir+Samarinda+10+Februari+2022", "Cek Google: 10 Februari 2022")</f>
        <v/>
      </c>
      <c r="E63" t="inlineStr"/>
    </row>
    <row r="64">
      <c r="A64" t="inlineStr">
        <is>
          <t>2022-02-15</t>
        </is>
      </c>
      <c r="B64" t="n">
        <v>24.1</v>
      </c>
      <c r="C64" t="n">
        <v>18</v>
      </c>
      <c r="D64">
        <f>HYPERLINK("https://www.google.com/search?q=Banjir+Samarinda+15+Februari+2022", "Cek Google: 15 Februari 2022")</f>
        <v/>
      </c>
      <c r="E64" t="inlineStr"/>
    </row>
    <row r="65">
      <c r="A65" t="inlineStr">
        <is>
          <t>2022-02-18</t>
        </is>
      </c>
      <c r="B65" t="n">
        <v>20.4</v>
      </c>
      <c r="C65" t="n">
        <v>23</v>
      </c>
      <c r="D65">
        <f>HYPERLINK("https://www.google.com/search?q=Banjir+Samarinda+18+Februari+2022", "Cek Google: 18 Februari 2022")</f>
        <v/>
      </c>
      <c r="E65" t="inlineStr"/>
    </row>
    <row r="66">
      <c r="A66" t="inlineStr">
        <is>
          <t>2022-02-20</t>
        </is>
      </c>
      <c r="B66" t="n">
        <v>27.5</v>
      </c>
      <c r="C66" t="n">
        <v>20</v>
      </c>
      <c r="D66">
        <f>HYPERLINK("https://www.google.com/search?q=Banjir+Samarinda+20+Februari+2022", "Cek Google: 20 Februari 2022")</f>
        <v/>
      </c>
      <c r="E66" t="inlineStr"/>
    </row>
    <row r="67">
      <c r="A67" t="inlineStr">
        <is>
          <t>2022-03-05</t>
        </is>
      </c>
      <c r="B67" t="n">
        <v>29.2</v>
      </c>
      <c r="C67" t="n">
        <v>21</v>
      </c>
      <c r="D67">
        <f>HYPERLINK("https://www.google.com/search?q=Banjir+Samarinda+05+Maret+2022", "Cek Google: 05 Maret 2022")</f>
        <v/>
      </c>
      <c r="E67" t="inlineStr"/>
    </row>
    <row r="68">
      <c r="A68" t="inlineStr">
        <is>
          <t>2022-03-06</t>
        </is>
      </c>
      <c r="B68" t="n">
        <v>22.8</v>
      </c>
      <c r="C68" t="n">
        <v>20</v>
      </c>
      <c r="D68">
        <f>HYPERLINK("https://www.google.com/search?q=Banjir+Samarinda+06+Maret+2022", "Cek Google: 06 Maret 2022")</f>
        <v/>
      </c>
      <c r="E68" t="inlineStr"/>
    </row>
    <row r="69">
      <c r="A69" t="inlineStr">
        <is>
          <t>2022-03-07</t>
        </is>
      </c>
      <c r="B69" t="n">
        <v>31.7</v>
      </c>
      <c r="C69" t="n">
        <v>17</v>
      </c>
      <c r="D69">
        <f>HYPERLINK("https://www.google.com/search?q=Banjir+Samarinda+07+Maret+2022", "Cek Google: 07 Maret 2022")</f>
        <v/>
      </c>
      <c r="E69" t="inlineStr"/>
    </row>
    <row r="70">
      <c r="A70" t="inlineStr">
        <is>
          <t>2022-03-09</t>
        </is>
      </c>
      <c r="B70" t="n">
        <v>22.9</v>
      </c>
      <c r="C70" t="n">
        <v>14</v>
      </c>
      <c r="D70">
        <f>HYPERLINK("https://www.google.com/search?q=Banjir+Samarinda+09+Maret+2022", "Cek Google: 09 Maret 2022")</f>
        <v/>
      </c>
      <c r="E70" t="inlineStr"/>
    </row>
    <row r="71">
      <c r="A71" t="inlineStr">
        <is>
          <t>2022-03-12</t>
        </is>
      </c>
      <c r="B71" t="n">
        <v>28.1</v>
      </c>
      <c r="C71" t="n">
        <v>13</v>
      </c>
      <c r="D71">
        <f>HYPERLINK("https://www.google.com/search?q=Banjir+Samarinda+12+Maret+2022", "Cek Google: 12 Maret 2022")</f>
        <v/>
      </c>
      <c r="E71" t="inlineStr"/>
    </row>
    <row r="72">
      <c r="A72" t="inlineStr">
        <is>
          <t>2022-03-13</t>
        </is>
      </c>
      <c r="B72" t="n">
        <v>22.9</v>
      </c>
      <c r="C72" t="n">
        <v>22</v>
      </c>
      <c r="D72">
        <f>HYPERLINK("https://www.google.com/search?q=Banjir+Samarinda+13+Maret+2022", "Cek Google: 13 Maret 2022")</f>
        <v/>
      </c>
      <c r="E72" t="inlineStr"/>
    </row>
    <row r="73">
      <c r="A73" t="inlineStr">
        <is>
          <t>2022-03-18</t>
        </is>
      </c>
      <c r="B73" t="n">
        <v>36.3</v>
      </c>
      <c r="C73" t="n">
        <v>17</v>
      </c>
      <c r="D73">
        <f>HYPERLINK("https://www.google.com/search?q=Banjir+Samarinda+18+Maret+2022", "Cek Google: 18 Maret 2022")</f>
        <v/>
      </c>
      <c r="E73" t="inlineStr"/>
    </row>
    <row r="74">
      <c r="A74" t="inlineStr">
        <is>
          <t>2022-03-19</t>
        </is>
      </c>
      <c r="B74" t="n">
        <v>20.3</v>
      </c>
      <c r="C74" t="n">
        <v>16</v>
      </c>
      <c r="D74">
        <f>HYPERLINK("https://www.google.com/search?q=Banjir+Samarinda+19+Maret+2022", "Cek Google: 19 Maret 2022")</f>
        <v/>
      </c>
      <c r="E74" t="inlineStr"/>
    </row>
    <row r="75">
      <c r="A75" t="inlineStr">
        <is>
          <t>2022-03-20</t>
        </is>
      </c>
      <c r="B75" t="n">
        <v>29.7</v>
      </c>
      <c r="C75" t="n">
        <v>15</v>
      </c>
      <c r="D75">
        <f>HYPERLINK("https://www.google.com/search?q=Banjir+Samarinda+20+Maret+2022", "Cek Google: 20 Maret 2022")</f>
        <v/>
      </c>
      <c r="E75" t="inlineStr"/>
    </row>
    <row r="76">
      <c r="A76" t="inlineStr">
        <is>
          <t>2022-04-06</t>
        </is>
      </c>
      <c r="B76" t="n">
        <v>24</v>
      </c>
      <c r="C76" t="n">
        <v>8</v>
      </c>
      <c r="D76">
        <f>HYPERLINK("https://www.google.com/search?q=Banjir+Samarinda+06+April+2022", "Cek Google: 06 April 2022")</f>
        <v/>
      </c>
      <c r="E76" t="inlineStr"/>
    </row>
    <row r="77">
      <c r="A77" t="inlineStr">
        <is>
          <t>2022-04-16</t>
        </is>
      </c>
      <c r="B77" t="n">
        <v>54.1</v>
      </c>
      <c r="C77" t="n">
        <v>18</v>
      </c>
      <c r="D77">
        <f>HYPERLINK("https://www.google.com/search?q=Banjir+Samarinda+16+April+2022", "Cek Google: 16 April 2022")</f>
        <v/>
      </c>
      <c r="E77" t="inlineStr"/>
    </row>
    <row r="78">
      <c r="A78" t="inlineStr">
        <is>
          <t>2022-04-22</t>
        </is>
      </c>
      <c r="B78" t="n">
        <v>34</v>
      </c>
      <c r="C78" t="n">
        <v>13</v>
      </c>
      <c r="D78">
        <f>HYPERLINK("https://www.google.com/search?q=Banjir+Samarinda+22+April+2022", "Cek Google: 22 April 2022")</f>
        <v/>
      </c>
      <c r="E78" t="inlineStr"/>
    </row>
    <row r="79">
      <c r="A79" t="inlineStr">
        <is>
          <t>2022-04-27</t>
        </is>
      </c>
      <c r="B79" t="n">
        <v>28.5</v>
      </c>
      <c r="C79" t="n">
        <v>18</v>
      </c>
      <c r="D79">
        <f>HYPERLINK("https://www.google.com/search?q=Banjir+Samarinda+27+April+2022", "Cek Google: 27 April 2022")</f>
        <v/>
      </c>
      <c r="E79" t="inlineStr"/>
    </row>
    <row r="80">
      <c r="A80" t="inlineStr">
        <is>
          <t>2022-05-04</t>
        </is>
      </c>
      <c r="B80" t="n">
        <v>25.8</v>
      </c>
      <c r="C80" t="n">
        <v>16</v>
      </c>
      <c r="D80">
        <f>HYPERLINK("https://www.google.com/search?q=Banjir+Samarinda+04+Mei+2022", "Cek Google: 04 Mei 2022")</f>
        <v/>
      </c>
      <c r="E80" t="inlineStr"/>
    </row>
    <row r="81">
      <c r="A81" t="inlineStr">
        <is>
          <t>2022-05-09</t>
        </is>
      </c>
      <c r="B81" t="n">
        <v>21.8</v>
      </c>
      <c r="C81" t="n">
        <v>22</v>
      </c>
      <c r="D81">
        <f>HYPERLINK("https://www.google.com/search?q=Banjir+Samarinda+09+Mei+2022", "Cek Google: 09 Mei 2022")</f>
        <v/>
      </c>
      <c r="E81" t="inlineStr"/>
    </row>
    <row r="82">
      <c r="A82" t="inlineStr">
        <is>
          <t>2022-05-12</t>
        </is>
      </c>
      <c r="B82" t="n">
        <v>29</v>
      </c>
      <c r="C82" t="n">
        <v>14</v>
      </c>
      <c r="D82">
        <f>HYPERLINK("https://www.google.com/search?q=Banjir+Samarinda+12+Mei+2022", "Cek Google: 12 Mei 2022")</f>
        <v/>
      </c>
      <c r="E82" t="inlineStr"/>
    </row>
    <row r="83">
      <c r="A83" t="inlineStr">
        <is>
          <t>2022-05-13</t>
        </is>
      </c>
      <c r="B83" t="n">
        <v>28.2</v>
      </c>
      <c r="C83" t="n">
        <v>10</v>
      </c>
      <c r="D83">
        <f>HYPERLINK("https://www.google.com/search?q=Banjir+Samarinda+13+Mei+2022", "Cek Google: 13 Mei 2022")</f>
        <v/>
      </c>
      <c r="E83" t="inlineStr"/>
    </row>
    <row r="84">
      <c r="A84" t="inlineStr">
        <is>
          <t>2022-05-14</t>
        </is>
      </c>
      <c r="B84" t="n">
        <v>22.8</v>
      </c>
      <c r="C84" t="n">
        <v>17</v>
      </c>
      <c r="D84">
        <f>HYPERLINK("https://www.google.com/search?q=Banjir+Samarinda+14+Mei+2022", "Cek Google: 14 Mei 2022")</f>
        <v/>
      </c>
      <c r="E84" t="inlineStr"/>
    </row>
    <row r="85">
      <c r="A85" t="inlineStr">
        <is>
          <t>2022-05-20</t>
        </is>
      </c>
      <c r="B85" t="n">
        <v>22.9</v>
      </c>
      <c r="C85" t="n">
        <v>17</v>
      </c>
      <c r="D85">
        <f>HYPERLINK("https://www.google.com/search?q=Banjir+Samarinda+20+Mei+2022", "Cek Google: 20 Mei 2022")</f>
        <v/>
      </c>
      <c r="E85" t="inlineStr"/>
    </row>
    <row r="86">
      <c r="A86" t="inlineStr">
        <is>
          <t>2022-06-17</t>
        </is>
      </c>
      <c r="B86" t="n">
        <v>23</v>
      </c>
      <c r="C86" t="n">
        <v>18</v>
      </c>
      <c r="D86">
        <f>HYPERLINK("https://www.google.com/search?q=Banjir+Samarinda+17+Juni+2022", "Cek Google: 17 Juni 2022")</f>
        <v/>
      </c>
      <c r="E86" t="inlineStr"/>
    </row>
    <row r="87">
      <c r="A87" t="inlineStr">
        <is>
          <t>2022-07-09</t>
        </is>
      </c>
      <c r="B87" t="n">
        <v>20.2</v>
      </c>
      <c r="C87" t="n">
        <v>21</v>
      </c>
      <c r="D87">
        <f>HYPERLINK("https://www.google.com/search?q=Banjir+Samarinda+09+Juli+2022", "Cek Google: 09 Juli 2022")</f>
        <v/>
      </c>
      <c r="E87" t="inlineStr"/>
    </row>
    <row r="88">
      <c r="A88" t="inlineStr">
        <is>
          <t>2022-07-31</t>
        </is>
      </c>
      <c r="B88" t="n">
        <v>25.1</v>
      </c>
      <c r="C88" t="n">
        <v>17</v>
      </c>
      <c r="D88">
        <f>HYPERLINK("https://www.google.com/search?q=Banjir+Samarinda+31+Juli+2022", "Cek Google: 31 Juli 2022")</f>
        <v/>
      </c>
      <c r="E88" t="inlineStr"/>
    </row>
    <row r="89">
      <c r="A89" t="inlineStr">
        <is>
          <t>2022-08-10</t>
        </is>
      </c>
      <c r="B89" t="n">
        <v>20.9</v>
      </c>
      <c r="C89" t="n">
        <v>14</v>
      </c>
      <c r="D89">
        <f>HYPERLINK("https://www.google.com/search?q=Banjir+Samarinda+10+Agustus+2022", "Cek Google: 10 Agustus 2022")</f>
        <v/>
      </c>
      <c r="E89" t="inlineStr"/>
    </row>
    <row r="90">
      <c r="A90" t="inlineStr">
        <is>
          <t>2022-08-13</t>
        </is>
      </c>
      <c r="B90" t="n">
        <v>22.5</v>
      </c>
      <c r="C90" t="n">
        <v>10</v>
      </c>
      <c r="D90">
        <f>HYPERLINK("https://www.google.com/search?q=Banjir+Samarinda+13+Agustus+2022", "Cek Google: 13 Agustus 2022")</f>
        <v/>
      </c>
      <c r="E90" t="inlineStr"/>
    </row>
    <row r="91">
      <c r="A91" t="inlineStr">
        <is>
          <t>2022-08-30</t>
        </is>
      </c>
      <c r="B91" t="n">
        <v>23.4</v>
      </c>
      <c r="C91" t="n">
        <v>17</v>
      </c>
      <c r="D91">
        <f>HYPERLINK("https://www.google.com/search?q=Banjir+Samarinda+30+Agustus+2022", "Cek Google: 30 Agustus 2022")</f>
        <v/>
      </c>
      <c r="E91" t="inlineStr"/>
    </row>
    <row r="92">
      <c r="A92" t="inlineStr">
        <is>
          <t>2022-09-04</t>
        </is>
      </c>
      <c r="B92" t="n">
        <v>30.3</v>
      </c>
      <c r="C92" t="n">
        <v>14</v>
      </c>
      <c r="D92">
        <f>HYPERLINK("https://www.google.com/search?q=Banjir+Samarinda+04+September+2022", "Cek Google: 04 September 2022")</f>
        <v/>
      </c>
      <c r="E92" t="inlineStr"/>
    </row>
    <row r="93">
      <c r="A93" t="inlineStr">
        <is>
          <t>2022-09-05</t>
        </is>
      </c>
      <c r="B93" t="n">
        <v>30.2</v>
      </c>
      <c r="C93" t="n">
        <v>24</v>
      </c>
      <c r="D93">
        <f>HYPERLINK("https://www.google.com/search?q=Banjir+Samarinda+05+September+2022", "Cek Google: 05 September 2022")</f>
        <v/>
      </c>
      <c r="E93" t="inlineStr"/>
    </row>
    <row r="94">
      <c r="A94" t="inlineStr">
        <is>
          <t>2022-09-08</t>
        </is>
      </c>
      <c r="B94" t="n">
        <v>23.5</v>
      </c>
      <c r="C94" t="n">
        <v>13</v>
      </c>
      <c r="D94">
        <f>HYPERLINK("https://www.google.com/search?q=Banjir+Samarinda+08+September+2022", "Cek Google: 08 September 2022")</f>
        <v/>
      </c>
      <c r="E94" t="inlineStr"/>
    </row>
    <row r="95">
      <c r="A95" t="inlineStr">
        <is>
          <t>2022-09-09</t>
        </is>
      </c>
      <c r="B95" t="n">
        <v>20.9</v>
      </c>
      <c r="C95" t="n">
        <v>17</v>
      </c>
      <c r="D95">
        <f>HYPERLINK("https://www.google.com/search?q=Banjir+Samarinda+09+September+2022", "Cek Google: 09 September 2022")</f>
        <v/>
      </c>
      <c r="E95" t="inlineStr"/>
    </row>
    <row r="96">
      <c r="A96" t="inlineStr">
        <is>
          <t>2022-09-21</t>
        </is>
      </c>
      <c r="B96" t="n">
        <v>21.5</v>
      </c>
      <c r="C96" t="n">
        <v>16</v>
      </c>
      <c r="D96">
        <f>HYPERLINK("https://www.google.com/search?q=Banjir+Samarinda+21+September+2022", "Cek Google: 21 September 2022")</f>
        <v/>
      </c>
      <c r="E96" t="inlineStr"/>
    </row>
    <row r="97">
      <c r="A97" t="inlineStr">
        <is>
          <t>2022-09-24</t>
        </is>
      </c>
      <c r="B97" t="n">
        <v>34.8</v>
      </c>
      <c r="C97" t="n">
        <v>16</v>
      </c>
      <c r="D97">
        <f>HYPERLINK("https://www.google.com/search?q=Banjir+Samarinda+24+September+2022", "Cek Google: 24 September 2022")</f>
        <v/>
      </c>
      <c r="E97" t="inlineStr"/>
    </row>
    <row r="98">
      <c r="A98" t="inlineStr">
        <is>
          <t>2022-09-29</t>
        </is>
      </c>
      <c r="B98" t="n">
        <v>21.4</v>
      </c>
      <c r="C98" t="n">
        <v>11</v>
      </c>
      <c r="D98">
        <f>HYPERLINK("https://www.google.com/search?q=Banjir+Samarinda+29+September+2022", "Cek Google: 29 September 2022")</f>
        <v/>
      </c>
      <c r="E98" t="inlineStr"/>
    </row>
    <row r="99">
      <c r="A99" t="inlineStr">
        <is>
          <t>2022-10-09</t>
        </is>
      </c>
      <c r="B99" t="n">
        <v>48.6</v>
      </c>
      <c r="C99" t="n">
        <v>20</v>
      </c>
      <c r="D99">
        <f>HYPERLINK("https://www.google.com/search?q=Banjir+Samarinda+09+Oktober+2022", "Cek Google: 09 Oktober 2022")</f>
        <v/>
      </c>
      <c r="E99" t="inlineStr"/>
    </row>
    <row r="100">
      <c r="A100" t="inlineStr">
        <is>
          <t>2022-10-10</t>
        </is>
      </c>
      <c r="B100" t="n">
        <v>26.6</v>
      </c>
      <c r="C100" t="n">
        <v>11</v>
      </c>
      <c r="D100">
        <f>HYPERLINK("https://www.google.com/search?q=Banjir+Samarinda+10+Oktober+2022", "Cek Google: 10 Oktober 2022")</f>
        <v/>
      </c>
      <c r="E100" t="inlineStr"/>
    </row>
    <row r="101">
      <c r="A101" t="inlineStr">
        <is>
          <t>2022-10-13</t>
        </is>
      </c>
      <c r="B101" t="n">
        <v>31.7</v>
      </c>
      <c r="C101" t="n">
        <v>12</v>
      </c>
      <c r="D101">
        <f>HYPERLINK("https://www.google.com/search?q=Banjir+Samarinda+13+Oktober+2022", "Cek Google: 13 Oktober 2022")</f>
        <v/>
      </c>
      <c r="E101" t="inlineStr"/>
    </row>
    <row r="102">
      <c r="A102" t="inlineStr">
        <is>
          <t>2022-10-19</t>
        </is>
      </c>
      <c r="B102" t="n">
        <v>22.5</v>
      </c>
      <c r="C102" t="n">
        <v>11</v>
      </c>
      <c r="D102">
        <f>HYPERLINK("https://www.google.com/search?q=Banjir+Samarinda+19+Oktober+2022", "Cek Google: 19 Oktober 2022")</f>
        <v/>
      </c>
      <c r="E102" t="inlineStr"/>
    </row>
    <row r="103">
      <c r="A103" t="inlineStr">
        <is>
          <t>2022-10-22</t>
        </is>
      </c>
      <c r="B103" t="n">
        <v>22.2</v>
      </c>
      <c r="C103" t="n">
        <v>15</v>
      </c>
      <c r="D103">
        <f>HYPERLINK("https://www.google.com/search?q=Banjir+Samarinda+22+Oktober+2022", "Cek Google: 22 Oktober 2022")</f>
        <v/>
      </c>
      <c r="E103" t="inlineStr"/>
    </row>
    <row r="104">
      <c r="A104" t="inlineStr">
        <is>
          <t>2022-10-25</t>
        </is>
      </c>
      <c r="B104" t="n">
        <v>22.4</v>
      </c>
      <c r="C104" t="n">
        <v>13</v>
      </c>
      <c r="D104">
        <f>HYPERLINK("https://www.google.com/search?q=Banjir+Samarinda+25+Oktober+2022", "Cek Google: 25 Oktober 2022")</f>
        <v/>
      </c>
      <c r="E104" t="inlineStr"/>
    </row>
    <row r="105">
      <c r="A105" t="inlineStr">
        <is>
          <t>2022-11-04</t>
        </is>
      </c>
      <c r="B105" t="n">
        <v>23.5</v>
      </c>
      <c r="C105" t="n">
        <v>13</v>
      </c>
      <c r="D105">
        <f>HYPERLINK("https://www.google.com/search?q=Banjir+Samarinda+04+November+2022", "Cek Google: 04 November 2022")</f>
        <v/>
      </c>
      <c r="E105" t="inlineStr"/>
    </row>
    <row r="106">
      <c r="A106" t="inlineStr">
        <is>
          <t>2022-11-06</t>
        </is>
      </c>
      <c r="B106" t="n">
        <v>26.3</v>
      </c>
      <c r="C106" t="n">
        <v>15</v>
      </c>
      <c r="D106">
        <f>HYPERLINK("https://www.google.com/search?q=Banjir+Samarinda+06+November+2022", "Cek Google: 06 November 2022")</f>
        <v/>
      </c>
      <c r="E106" t="inlineStr"/>
    </row>
    <row r="107">
      <c r="A107" t="inlineStr">
        <is>
          <t>2022-11-14</t>
        </is>
      </c>
      <c r="B107" t="n">
        <v>39.2</v>
      </c>
      <c r="C107" t="n">
        <v>18</v>
      </c>
      <c r="D107">
        <f>HYPERLINK("https://www.google.com/search?q=Banjir+Samarinda+14+November+2022", "Cek Google: 14 November 2022")</f>
        <v/>
      </c>
      <c r="E107" t="inlineStr"/>
    </row>
    <row r="108">
      <c r="A108" t="inlineStr">
        <is>
          <t>2022-11-17</t>
        </is>
      </c>
      <c r="B108" t="n">
        <v>22</v>
      </c>
      <c r="C108" t="n">
        <v>9</v>
      </c>
      <c r="D108">
        <f>HYPERLINK("https://www.google.com/search?q=Banjir+Samarinda+17+November+2022", "Cek Google: 17 November 2022")</f>
        <v/>
      </c>
      <c r="E108" t="inlineStr"/>
    </row>
    <row r="109">
      <c r="A109" t="inlineStr">
        <is>
          <t>2022-11-18</t>
        </is>
      </c>
      <c r="B109" t="n">
        <v>26.7</v>
      </c>
      <c r="C109" t="n">
        <v>19</v>
      </c>
      <c r="D109">
        <f>HYPERLINK("https://www.google.com/search?q=Banjir+Samarinda+18+November+2022", "Cek Google: 18 November 2022")</f>
        <v/>
      </c>
      <c r="E109" t="inlineStr"/>
    </row>
    <row r="110">
      <c r="A110" t="inlineStr">
        <is>
          <t>2022-11-21</t>
        </is>
      </c>
      <c r="B110" t="n">
        <v>26.7</v>
      </c>
      <c r="C110" t="n">
        <v>15</v>
      </c>
      <c r="D110">
        <f>HYPERLINK("https://www.google.com/search?q=Banjir+Samarinda+21+November+2022", "Cek Google: 21 November 2022")</f>
        <v/>
      </c>
      <c r="E110" t="inlineStr"/>
    </row>
    <row r="111">
      <c r="A111" t="inlineStr">
        <is>
          <t>2022-11-29</t>
        </is>
      </c>
      <c r="B111" t="n">
        <v>34.7</v>
      </c>
      <c r="C111" t="n">
        <v>15</v>
      </c>
      <c r="D111">
        <f>HYPERLINK("https://www.google.com/search?q=Banjir+Samarinda+29+November+2022", "Cek Google: 29 November 2022")</f>
        <v/>
      </c>
      <c r="E111" t="inlineStr"/>
    </row>
    <row r="112">
      <c r="A112" t="inlineStr">
        <is>
          <t>2022-12-03</t>
        </is>
      </c>
      <c r="B112" t="n">
        <v>40.7</v>
      </c>
      <c r="C112" t="n">
        <v>17</v>
      </c>
      <c r="D112">
        <f>HYPERLINK("https://www.google.com/search?q=Banjir+Samarinda+03+Desember+2022", "Cek Google: 03 Desember 2022")</f>
        <v/>
      </c>
      <c r="E112" t="inlineStr"/>
    </row>
    <row r="113">
      <c r="A113" t="inlineStr">
        <is>
          <t>2022-12-16</t>
        </is>
      </c>
      <c r="B113" t="n">
        <v>32.8</v>
      </c>
      <c r="C113" t="n">
        <v>17</v>
      </c>
      <c r="D113">
        <f>HYPERLINK("https://www.google.com/search?q=Banjir+Samarinda+16+Desember+2022", "Cek Google: 16 Desember 2022")</f>
        <v/>
      </c>
      <c r="E113" t="inlineStr"/>
    </row>
    <row r="114">
      <c r="A114" t="inlineStr">
        <is>
          <t>2022-12-23</t>
        </is>
      </c>
      <c r="B114" t="n">
        <v>28.2</v>
      </c>
      <c r="C114" t="n">
        <v>22</v>
      </c>
      <c r="D114">
        <f>HYPERLINK("https://www.google.com/search?q=Banjir+Samarinda+23+Desember+2022", "Cek Google: 23 Desember 2022")</f>
        <v/>
      </c>
      <c r="E114" t="inlineStr"/>
    </row>
    <row r="115">
      <c r="A115" t="inlineStr">
        <is>
          <t>2023-01-02</t>
        </is>
      </c>
      <c r="B115" t="n">
        <v>20.3</v>
      </c>
      <c r="C115" t="n">
        <v>13</v>
      </c>
      <c r="D115">
        <f>HYPERLINK("https://www.google.com/search?q=Banjir+Samarinda+02+Januari+2023", "Cek Google: 02 Januari 2023")</f>
        <v/>
      </c>
      <c r="E115" t="inlineStr"/>
    </row>
    <row r="116">
      <c r="A116" t="inlineStr">
        <is>
          <t>2023-01-25</t>
        </is>
      </c>
      <c r="B116" t="n">
        <v>43.9</v>
      </c>
      <c r="C116" t="n">
        <v>23</v>
      </c>
      <c r="D116">
        <f>HYPERLINK("https://www.google.com/search?q=Banjir+Samarinda+25+Januari+2023", "Cek Google: 25 Januari 2023")</f>
        <v/>
      </c>
      <c r="E116" t="inlineStr"/>
    </row>
    <row r="117">
      <c r="A117" t="inlineStr">
        <is>
          <t>2023-01-28</t>
        </is>
      </c>
      <c r="B117" t="n">
        <v>23.2</v>
      </c>
      <c r="C117" t="n">
        <v>15</v>
      </c>
      <c r="D117">
        <f>HYPERLINK("https://www.google.com/search?q=Banjir+Samarinda+28+Januari+2023", "Cek Google: 28 Januari 2023")</f>
        <v/>
      </c>
      <c r="E117" t="inlineStr"/>
    </row>
    <row r="118">
      <c r="A118" t="inlineStr">
        <is>
          <t>2023-02-15</t>
        </is>
      </c>
      <c r="B118" t="n">
        <v>26.9</v>
      </c>
      <c r="C118" t="n">
        <v>13</v>
      </c>
      <c r="D118">
        <f>HYPERLINK("https://www.google.com/search?q=Banjir+Samarinda+15+Februari+2023", "Cek Google: 15 Februari 2023")</f>
        <v/>
      </c>
      <c r="E118" t="inlineStr"/>
    </row>
    <row r="119">
      <c r="A119" t="inlineStr">
        <is>
          <t>2023-02-16</t>
        </is>
      </c>
      <c r="B119" t="n">
        <v>29.3</v>
      </c>
      <c r="C119" t="n">
        <v>16</v>
      </c>
      <c r="D119">
        <f>HYPERLINK("https://www.google.com/search?q=Banjir+Samarinda+16+Februari+2023", "Cek Google: 16 Februari 2023")</f>
        <v/>
      </c>
      <c r="E119" t="inlineStr"/>
    </row>
    <row r="120">
      <c r="A120" t="inlineStr">
        <is>
          <t>2023-02-17</t>
        </is>
      </c>
      <c r="B120" t="n">
        <v>22.3</v>
      </c>
      <c r="C120" t="n">
        <v>19</v>
      </c>
      <c r="D120">
        <f>HYPERLINK("https://www.google.com/search?q=Banjir+Samarinda+17+Februari+2023", "Cek Google: 17 Februari 2023")</f>
        <v/>
      </c>
      <c r="E120" t="inlineStr"/>
    </row>
    <row r="121">
      <c r="A121" t="inlineStr">
        <is>
          <t>2023-02-24</t>
        </is>
      </c>
      <c r="B121" t="n">
        <v>26.6</v>
      </c>
      <c r="C121" t="n">
        <v>14</v>
      </c>
      <c r="D121">
        <f>HYPERLINK("https://www.google.com/search?q=Banjir+Samarinda+24+Februari+2023", "Cek Google: 24 Februari 2023")</f>
        <v/>
      </c>
      <c r="E121" t="inlineStr"/>
    </row>
    <row r="122">
      <c r="A122" t="inlineStr">
        <is>
          <t>2023-02-26</t>
        </is>
      </c>
      <c r="B122" t="n">
        <v>21.2</v>
      </c>
      <c r="C122" t="n">
        <v>18</v>
      </c>
      <c r="D122">
        <f>HYPERLINK("https://www.google.com/search?q=Banjir+Samarinda+26+Februari+2023", "Cek Google: 26 Februari 2023")</f>
        <v/>
      </c>
      <c r="E122" t="inlineStr"/>
    </row>
    <row r="123">
      <c r="A123" t="inlineStr">
        <is>
          <t>2023-02-28</t>
        </is>
      </c>
      <c r="B123" t="n">
        <v>27.4</v>
      </c>
      <c r="C123" t="n">
        <v>18</v>
      </c>
      <c r="D123">
        <f>HYPERLINK("https://www.google.com/search?q=Banjir+Samarinda+28+Februari+2023", "Cek Google: 28 Februari 2023")</f>
        <v/>
      </c>
      <c r="E123" t="inlineStr"/>
    </row>
    <row r="124">
      <c r="A124" t="inlineStr">
        <is>
          <t>2023-03-04</t>
        </is>
      </c>
      <c r="B124" t="n">
        <v>23.7</v>
      </c>
      <c r="C124" t="n">
        <v>13</v>
      </c>
      <c r="D124">
        <f>HYPERLINK("https://www.google.com/search?q=Banjir+Samarinda+04+Maret+2023", "Cek Google: 04 Maret 2023")</f>
        <v/>
      </c>
      <c r="E124" t="inlineStr"/>
    </row>
    <row r="125">
      <c r="A125" t="inlineStr">
        <is>
          <t>2023-03-05</t>
        </is>
      </c>
      <c r="B125" t="n">
        <v>27.7</v>
      </c>
      <c r="C125" t="n">
        <v>17</v>
      </c>
      <c r="D125">
        <f>HYPERLINK("https://www.google.com/search?q=Banjir+Samarinda+05+Maret+2023", "Cek Google: 05 Maret 2023")</f>
        <v/>
      </c>
      <c r="E125" t="inlineStr"/>
    </row>
    <row r="126">
      <c r="A126" t="inlineStr">
        <is>
          <t>2023-03-08</t>
        </is>
      </c>
      <c r="B126" t="n">
        <v>21.2</v>
      </c>
      <c r="C126" t="n">
        <v>17</v>
      </c>
      <c r="D126">
        <f>HYPERLINK("https://www.google.com/search?q=Banjir+Samarinda+08+Maret+2023", "Cek Google: 08 Maret 2023")</f>
        <v/>
      </c>
      <c r="E126" t="inlineStr"/>
    </row>
    <row r="127">
      <c r="A127" t="inlineStr">
        <is>
          <t>2023-03-09</t>
        </is>
      </c>
      <c r="B127" t="n">
        <v>36.9</v>
      </c>
      <c r="C127" t="n">
        <v>16</v>
      </c>
      <c r="D127">
        <f>HYPERLINK("https://www.google.com/search?q=Banjir+Samarinda+09+Maret+2023", "Cek Google: 09 Maret 2023")</f>
        <v/>
      </c>
      <c r="E127" t="inlineStr"/>
    </row>
    <row r="128">
      <c r="A128" t="inlineStr">
        <is>
          <t>2023-03-11</t>
        </is>
      </c>
      <c r="B128" t="n">
        <v>28.2</v>
      </c>
      <c r="C128" t="n">
        <v>16</v>
      </c>
      <c r="D128">
        <f>HYPERLINK("https://www.google.com/search?q=Banjir+Samarinda+11+Maret+2023", "Cek Google: 11 Maret 2023")</f>
        <v/>
      </c>
      <c r="E128" t="inlineStr"/>
    </row>
    <row r="129">
      <c r="A129" t="inlineStr">
        <is>
          <t>2023-03-13</t>
        </is>
      </c>
      <c r="B129" t="n">
        <v>25.7</v>
      </c>
      <c r="C129" t="n">
        <v>21</v>
      </c>
      <c r="D129">
        <f>HYPERLINK("https://www.google.com/search?q=Banjir+Samarinda+13+Maret+2023", "Cek Google: 13 Maret 2023")</f>
        <v/>
      </c>
      <c r="E129" t="inlineStr"/>
    </row>
    <row r="130">
      <c r="A130" t="inlineStr">
        <is>
          <t>2023-03-14</t>
        </is>
      </c>
      <c r="B130" t="n">
        <v>44.6</v>
      </c>
      <c r="C130" t="n">
        <v>16</v>
      </c>
      <c r="D130">
        <f>HYPERLINK("https://www.google.com/search?q=Banjir+Samarinda+14+Maret+2023", "Cek Google: 14 Maret 2023")</f>
        <v/>
      </c>
      <c r="E130" t="inlineStr"/>
    </row>
    <row r="131">
      <c r="A131" t="inlineStr">
        <is>
          <t>2023-03-30</t>
        </is>
      </c>
      <c r="B131" t="n">
        <v>33</v>
      </c>
      <c r="C131" t="n">
        <v>14</v>
      </c>
      <c r="D131">
        <f>HYPERLINK("https://www.google.com/search?q=Banjir+Samarinda+30+Maret+2023", "Cek Google: 30 Maret 2023")</f>
        <v/>
      </c>
      <c r="E131" t="inlineStr"/>
    </row>
    <row r="132">
      <c r="A132" t="inlineStr">
        <is>
          <t>2023-03-31</t>
        </is>
      </c>
      <c r="B132" t="n">
        <v>29.6</v>
      </c>
      <c r="C132" t="n">
        <v>17</v>
      </c>
      <c r="D132">
        <f>HYPERLINK("https://www.google.com/search?q=Banjir+Samarinda+31+Maret+2023", "Cek Google: 31 Maret 2023")</f>
        <v/>
      </c>
      <c r="E132" t="inlineStr"/>
    </row>
    <row r="133">
      <c r="A133" t="inlineStr">
        <is>
          <t>2023-04-07</t>
        </is>
      </c>
      <c r="B133" t="n">
        <v>24.9</v>
      </c>
      <c r="C133" t="n">
        <v>12</v>
      </c>
      <c r="D133">
        <f>HYPERLINK("https://www.google.com/search?q=Banjir+Samarinda+07+April+2023", "Cek Google: 07 April 2023")</f>
        <v/>
      </c>
      <c r="E133" t="inlineStr"/>
    </row>
    <row r="134">
      <c r="A134" t="inlineStr">
        <is>
          <t>2023-04-10</t>
        </is>
      </c>
      <c r="B134" t="n">
        <v>26</v>
      </c>
      <c r="C134" t="n">
        <v>16</v>
      </c>
      <c r="D134">
        <f>HYPERLINK("https://www.google.com/search?q=Banjir+Samarinda+10+April+2023", "Cek Google: 10 April 2023")</f>
        <v/>
      </c>
      <c r="E134" t="inlineStr"/>
    </row>
    <row r="135">
      <c r="A135" t="inlineStr">
        <is>
          <t>2023-04-15</t>
        </is>
      </c>
      <c r="B135" t="n">
        <v>23.7</v>
      </c>
      <c r="C135" t="n">
        <v>12</v>
      </c>
      <c r="D135">
        <f>HYPERLINK("https://www.google.com/search?q=Banjir+Samarinda+15+April+2023", "Cek Google: 15 April 2023")</f>
        <v/>
      </c>
      <c r="E135" t="inlineStr"/>
    </row>
    <row r="136">
      <c r="A136" t="inlineStr">
        <is>
          <t>2023-04-30</t>
        </is>
      </c>
      <c r="B136" t="n">
        <v>20.7</v>
      </c>
      <c r="C136" t="n">
        <v>19</v>
      </c>
      <c r="D136">
        <f>HYPERLINK("https://www.google.com/search?q=Banjir+Samarinda+30+April+2023", "Cek Google: 30 April 2023")</f>
        <v/>
      </c>
      <c r="E136" t="inlineStr"/>
    </row>
    <row r="137">
      <c r="A137" t="inlineStr">
        <is>
          <t>2023-05-07</t>
        </is>
      </c>
      <c r="B137" t="n">
        <v>22.4</v>
      </c>
      <c r="C137" t="n">
        <v>14</v>
      </c>
      <c r="D137">
        <f>HYPERLINK("https://www.google.com/search?q=Banjir+Samarinda+07+Mei+2023", "Cek Google: 07 Mei 2023")</f>
        <v/>
      </c>
      <c r="E137" t="inlineStr"/>
    </row>
    <row r="138">
      <c r="A138" t="inlineStr">
        <is>
          <t>2023-05-08</t>
        </is>
      </c>
      <c r="B138" t="n">
        <v>33.1</v>
      </c>
      <c r="C138" t="n">
        <v>23</v>
      </c>
      <c r="D138">
        <f>HYPERLINK("https://www.google.com/search?q=Banjir+Samarinda+08+Mei+2023", "Cek Google: 08 Mei 2023")</f>
        <v/>
      </c>
      <c r="E138" t="inlineStr"/>
    </row>
    <row r="139">
      <c r="A139" t="inlineStr">
        <is>
          <t>2023-05-10</t>
        </is>
      </c>
      <c r="B139" t="n">
        <v>30.3</v>
      </c>
      <c r="C139" t="n">
        <v>13</v>
      </c>
      <c r="D139">
        <f>HYPERLINK("https://www.google.com/search?q=Banjir+Samarinda+10+Mei+2023", "Cek Google: 10 Mei 2023")</f>
        <v/>
      </c>
      <c r="E139" t="inlineStr"/>
    </row>
    <row r="140">
      <c r="A140" t="inlineStr">
        <is>
          <t>2023-05-24</t>
        </is>
      </c>
      <c r="B140" t="n">
        <v>26.5</v>
      </c>
      <c r="C140" t="n">
        <v>15</v>
      </c>
      <c r="D140">
        <f>HYPERLINK("https://www.google.com/search?q=Banjir+Samarinda+24+Mei+2023", "Cek Google: 24 Mei 2023")</f>
        <v/>
      </c>
      <c r="E140" t="inlineStr"/>
    </row>
    <row r="141">
      <c r="A141" t="inlineStr">
        <is>
          <t>2023-05-30</t>
        </is>
      </c>
      <c r="B141" t="n">
        <v>20.1</v>
      </c>
      <c r="C141" t="n">
        <v>17</v>
      </c>
      <c r="D141">
        <f>HYPERLINK("https://www.google.com/search?q=Banjir+Samarinda+30+Mei+2023", "Cek Google: 30 Mei 2023")</f>
        <v/>
      </c>
      <c r="E141" t="inlineStr"/>
    </row>
    <row r="142">
      <c r="A142" t="inlineStr">
        <is>
          <t>2023-06-17</t>
        </is>
      </c>
      <c r="B142" t="n">
        <v>29.1</v>
      </c>
      <c r="C142" t="n">
        <v>14</v>
      </c>
      <c r="D142">
        <f>HYPERLINK("https://www.google.com/search?q=Banjir+Samarinda+17+Juni+2023", "Cek Google: 17 Juni 2023")</f>
        <v/>
      </c>
      <c r="E142" t="inlineStr"/>
    </row>
    <row r="143">
      <c r="A143" t="inlineStr">
        <is>
          <t>2023-06-18</t>
        </is>
      </c>
      <c r="B143" t="n">
        <v>25.5</v>
      </c>
      <c r="C143" t="n">
        <v>9</v>
      </c>
      <c r="D143">
        <f>HYPERLINK("https://www.google.com/search?q=Banjir+Samarinda+18+Juni+2023", "Cek Google: 18 Juni 2023")</f>
        <v/>
      </c>
      <c r="E143" t="inlineStr"/>
    </row>
    <row r="144">
      <c r="A144" t="inlineStr">
        <is>
          <t>2023-07-03</t>
        </is>
      </c>
      <c r="B144" t="n">
        <v>26.2</v>
      </c>
      <c r="C144" t="n">
        <v>23</v>
      </c>
      <c r="D144">
        <f>HYPERLINK("https://www.google.com/search?q=Banjir+Samarinda+03+Juli+2023", "Cek Google: 03 Juli 2023")</f>
        <v/>
      </c>
      <c r="E144" t="inlineStr"/>
    </row>
    <row r="145">
      <c r="A145" t="inlineStr">
        <is>
          <t>2023-07-07</t>
        </is>
      </c>
      <c r="B145" t="n">
        <v>32.1</v>
      </c>
      <c r="C145" t="n">
        <v>15</v>
      </c>
      <c r="D145">
        <f>HYPERLINK("https://www.google.com/search?q=Banjir+Samarinda+07+Juli+2023", "Cek Google: 07 Juli 2023")</f>
        <v/>
      </c>
      <c r="E145" t="inlineStr"/>
    </row>
    <row r="146">
      <c r="A146" t="inlineStr">
        <is>
          <t>2023-07-15</t>
        </is>
      </c>
      <c r="B146" t="n">
        <v>23.7</v>
      </c>
      <c r="C146" t="n">
        <v>17</v>
      </c>
      <c r="D146">
        <f>HYPERLINK("https://www.google.com/search?q=Banjir+Samarinda+15+Juli+2023", "Cek Google: 15 Juli 2023")</f>
        <v/>
      </c>
      <c r="E146" t="inlineStr"/>
    </row>
    <row r="147">
      <c r="A147" t="inlineStr">
        <is>
          <t>2023-07-20</t>
        </is>
      </c>
      <c r="B147" t="n">
        <v>29.7</v>
      </c>
      <c r="C147" t="n">
        <v>19</v>
      </c>
      <c r="D147">
        <f>HYPERLINK("https://www.google.com/search?q=Banjir+Samarinda+20+Juli+2023", "Cek Google: 20 Juli 2023")</f>
        <v/>
      </c>
      <c r="E147" t="inlineStr"/>
    </row>
    <row r="148">
      <c r="A148" t="inlineStr">
        <is>
          <t>2023-07-21</t>
        </is>
      </c>
      <c r="B148" t="n">
        <v>22.9</v>
      </c>
      <c r="C148" t="n">
        <v>21</v>
      </c>
      <c r="D148">
        <f>HYPERLINK("https://www.google.com/search?q=Banjir+Samarinda+21+Juli+2023", "Cek Google: 21 Juli 2023")</f>
        <v/>
      </c>
      <c r="E148" t="inlineStr"/>
    </row>
    <row r="149">
      <c r="A149" t="inlineStr">
        <is>
          <t>2023-08-25</t>
        </is>
      </c>
      <c r="B149" t="n">
        <v>24.2</v>
      </c>
      <c r="C149" t="n">
        <v>15</v>
      </c>
      <c r="D149">
        <f>HYPERLINK("https://www.google.com/search?q=Banjir+Samarinda+25+Agustus+2023", "Cek Google: 25 Agustus 2023")</f>
        <v/>
      </c>
      <c r="E149" t="inlineStr"/>
    </row>
    <row r="150">
      <c r="A150" t="inlineStr">
        <is>
          <t>2023-09-11</t>
        </is>
      </c>
      <c r="B150" t="n">
        <v>27.7</v>
      </c>
      <c r="C150" t="n">
        <v>9</v>
      </c>
      <c r="D150">
        <f>HYPERLINK("https://www.google.com/search?q=Banjir+Samarinda+11+September+2023", "Cek Google: 11 September 2023")</f>
        <v/>
      </c>
      <c r="E150" t="inlineStr"/>
    </row>
    <row r="151">
      <c r="A151" t="inlineStr">
        <is>
          <t>2023-09-12</t>
        </is>
      </c>
      <c r="B151" t="n">
        <v>26.8</v>
      </c>
      <c r="C151" t="n">
        <v>18</v>
      </c>
      <c r="D151">
        <f>HYPERLINK("https://www.google.com/search?q=Banjir+Samarinda+12+September+2023", "Cek Google: 12 September 2023")</f>
        <v/>
      </c>
      <c r="E151" t="inlineStr"/>
    </row>
    <row r="152">
      <c r="A152" t="inlineStr">
        <is>
          <t>2023-09-17</t>
        </is>
      </c>
      <c r="B152" t="n">
        <v>26.7</v>
      </c>
      <c r="C152" t="n">
        <v>14</v>
      </c>
      <c r="D152">
        <f>HYPERLINK("https://www.google.com/search?q=Banjir+Samarinda+17+September+2023", "Cek Google: 17 September 2023")</f>
        <v/>
      </c>
      <c r="E152" t="inlineStr"/>
    </row>
    <row r="153">
      <c r="A153" t="inlineStr">
        <is>
          <t>2023-10-18</t>
        </is>
      </c>
      <c r="B153" t="n">
        <v>22.3</v>
      </c>
      <c r="C153" t="n">
        <v>11</v>
      </c>
      <c r="D153">
        <f>HYPERLINK("https://www.google.com/search?q=Banjir+Samarinda+18+Oktober+2023", "Cek Google: 18 Oktober 2023")</f>
        <v/>
      </c>
      <c r="E153" t="inlineStr"/>
    </row>
    <row r="154">
      <c r="A154" t="inlineStr">
        <is>
          <t>2023-11-17</t>
        </is>
      </c>
      <c r="B154" t="n">
        <v>24.6</v>
      </c>
      <c r="C154" t="n">
        <v>13</v>
      </c>
      <c r="D154">
        <f>HYPERLINK("https://www.google.com/search?q=Banjir+Samarinda+17+November+2023", "Cek Google: 17 November 2023")</f>
        <v/>
      </c>
      <c r="E154" t="inlineStr"/>
    </row>
    <row r="155">
      <c r="A155" t="inlineStr">
        <is>
          <t>2023-11-18</t>
        </is>
      </c>
      <c r="B155" t="n">
        <v>38.5</v>
      </c>
      <c r="C155" t="n">
        <v>19</v>
      </c>
      <c r="D155">
        <f>HYPERLINK("https://www.google.com/search?q=Banjir+Samarinda+18+November+2023", "Cek Google: 18 November 2023")</f>
        <v/>
      </c>
      <c r="E155" t="inlineStr"/>
    </row>
    <row r="156">
      <c r="A156" t="inlineStr">
        <is>
          <t>2023-11-20</t>
        </is>
      </c>
      <c r="B156" t="n">
        <v>23.5</v>
      </c>
      <c r="C156" t="n">
        <v>13</v>
      </c>
      <c r="D156">
        <f>HYPERLINK("https://www.google.com/search?q=Banjir+Samarinda+20+November+2023", "Cek Google: 20 November 2023")</f>
        <v/>
      </c>
      <c r="E156" t="inlineStr"/>
    </row>
    <row r="157">
      <c r="A157" t="inlineStr">
        <is>
          <t>2023-11-21</t>
        </is>
      </c>
      <c r="B157" t="n">
        <v>23.2</v>
      </c>
      <c r="C157" t="n">
        <v>11</v>
      </c>
      <c r="D157">
        <f>HYPERLINK("https://www.google.com/search?q=Banjir+Samarinda+21+November+2023", "Cek Google: 21 November 2023")</f>
        <v/>
      </c>
      <c r="E157" t="inlineStr"/>
    </row>
    <row r="158">
      <c r="A158" t="inlineStr">
        <is>
          <t>2023-11-23</t>
        </is>
      </c>
      <c r="B158" t="n">
        <v>30.5</v>
      </c>
      <c r="C158" t="n">
        <v>11</v>
      </c>
      <c r="D158">
        <f>HYPERLINK("https://www.google.com/search?q=Banjir+Samarinda+23+November+2023", "Cek Google: 23 November 2023")</f>
        <v/>
      </c>
      <c r="E158" t="inlineStr"/>
    </row>
    <row r="159">
      <c r="A159" t="inlineStr">
        <is>
          <t>2023-11-24</t>
        </is>
      </c>
      <c r="B159" t="n">
        <v>28.8</v>
      </c>
      <c r="C159" t="n">
        <v>11</v>
      </c>
      <c r="D159">
        <f>HYPERLINK("https://www.google.com/search?q=Banjir+Samarinda+24+November+2023", "Cek Google: 24 November 2023")</f>
        <v/>
      </c>
      <c r="E159" t="inlineStr"/>
    </row>
    <row r="160">
      <c r="A160" t="inlineStr">
        <is>
          <t>2023-11-26</t>
        </is>
      </c>
      <c r="B160" t="n">
        <v>69.7</v>
      </c>
      <c r="C160" t="n">
        <v>20</v>
      </c>
      <c r="D160">
        <f>HYPERLINK("https://www.google.com/search?q=Banjir+Samarinda+26+November+2023", "Cek Google: 26 November 2023")</f>
        <v/>
      </c>
      <c r="E160" t="inlineStr"/>
    </row>
    <row r="161">
      <c r="A161" t="inlineStr">
        <is>
          <t>2023-11-27</t>
        </is>
      </c>
      <c r="B161" t="n">
        <v>21.7</v>
      </c>
      <c r="C161" t="n">
        <v>15</v>
      </c>
      <c r="D161">
        <f>HYPERLINK("https://www.google.com/search?q=Banjir+Samarinda+27+November+2023", "Cek Google: 27 November 2023")</f>
        <v/>
      </c>
      <c r="E161" t="inlineStr"/>
    </row>
    <row r="162">
      <c r="A162" t="inlineStr">
        <is>
          <t>2023-11-28</t>
        </is>
      </c>
      <c r="B162" t="n">
        <v>26.9</v>
      </c>
      <c r="C162" t="n">
        <v>17</v>
      </c>
      <c r="D162">
        <f>HYPERLINK("https://www.google.com/search?q=Banjir+Samarinda+28+November+2023", "Cek Google: 28 November 2023")</f>
        <v/>
      </c>
      <c r="E162" t="inlineStr"/>
    </row>
    <row r="163">
      <c r="A163" t="inlineStr">
        <is>
          <t>2023-12-07</t>
        </is>
      </c>
      <c r="B163" t="n">
        <v>21.2</v>
      </c>
      <c r="C163" t="n">
        <v>12</v>
      </c>
      <c r="D163">
        <f>HYPERLINK("https://www.google.com/search?q=Banjir+Samarinda+07+Desember+2023", "Cek Google: 07 Desember 2023")</f>
        <v/>
      </c>
      <c r="E163" t="inlineStr"/>
    </row>
    <row r="164">
      <c r="A164" t="inlineStr">
        <is>
          <t>2023-12-09</t>
        </is>
      </c>
      <c r="B164" t="n">
        <v>26.1</v>
      </c>
      <c r="C164" t="n">
        <v>16</v>
      </c>
      <c r="D164">
        <f>HYPERLINK("https://www.google.com/search?q=Banjir+Samarinda+09+Desember+2023", "Cek Google: 09 Desember 2023")</f>
        <v/>
      </c>
      <c r="E164" t="inlineStr"/>
    </row>
    <row r="165">
      <c r="A165" t="inlineStr">
        <is>
          <t>2023-12-13</t>
        </is>
      </c>
      <c r="B165" t="n">
        <v>26.7</v>
      </c>
      <c r="C165" t="n">
        <v>13</v>
      </c>
      <c r="D165">
        <f>HYPERLINK("https://www.google.com/search?q=Banjir+Samarinda+13+Desember+2023", "Cek Google: 13 Desember 2023")</f>
        <v/>
      </c>
      <c r="E165" t="inlineStr"/>
    </row>
    <row r="166">
      <c r="A166" t="inlineStr">
        <is>
          <t>2023-12-20</t>
        </is>
      </c>
      <c r="B166" t="n">
        <v>22.9</v>
      </c>
      <c r="C166" t="n">
        <v>15</v>
      </c>
      <c r="D166">
        <f>HYPERLINK("https://www.google.com/search?q=Banjir+Samarinda+20+Desember+2023", "Cek Google: 20 Desember 2023")</f>
        <v/>
      </c>
      <c r="E166" t="inlineStr"/>
    </row>
    <row r="167">
      <c r="A167" t="inlineStr">
        <is>
          <t>2024-01-02</t>
        </is>
      </c>
      <c r="B167" t="n">
        <v>24</v>
      </c>
      <c r="C167" t="n">
        <v>17</v>
      </c>
      <c r="D167">
        <f>HYPERLINK("https://www.google.com/search?q=Banjir+Samarinda+02+Januari+2024", "Cek Google: 02 Januari 2024")</f>
        <v/>
      </c>
      <c r="E167" t="inlineStr"/>
    </row>
    <row r="168">
      <c r="A168" t="inlineStr">
        <is>
          <t>2024-01-13</t>
        </is>
      </c>
      <c r="B168" t="n">
        <v>23.1</v>
      </c>
      <c r="C168" t="n">
        <v>14</v>
      </c>
      <c r="D168">
        <f>HYPERLINK("https://www.google.com/search?q=Banjir+Samarinda+13+Januari+2024", "Cek Google: 13 Januari 2024")</f>
        <v/>
      </c>
      <c r="E168" t="inlineStr"/>
    </row>
    <row r="169">
      <c r="A169" t="inlineStr">
        <is>
          <t>2024-01-15</t>
        </is>
      </c>
      <c r="B169" t="n">
        <v>21.3</v>
      </c>
      <c r="C169" t="n">
        <v>17</v>
      </c>
      <c r="D169">
        <f>HYPERLINK("https://www.google.com/search?q=Banjir+Samarinda+15+Januari+2024", "Cek Google: 15 Januari 2024")</f>
        <v/>
      </c>
      <c r="E169" t="inlineStr"/>
    </row>
    <row r="170">
      <c r="A170" t="inlineStr">
        <is>
          <t>2024-01-24</t>
        </is>
      </c>
      <c r="B170" t="n">
        <v>29.1</v>
      </c>
      <c r="C170" t="n">
        <v>17</v>
      </c>
      <c r="D170">
        <f>HYPERLINK("https://www.google.com/search?q=Banjir+Samarinda+24+Januari+2024", "Cek Google: 24 Januari 2024")</f>
        <v/>
      </c>
      <c r="E170" t="inlineStr"/>
    </row>
    <row r="171">
      <c r="A171" t="inlineStr">
        <is>
          <t>2024-02-01</t>
        </is>
      </c>
      <c r="B171" t="n">
        <v>22</v>
      </c>
      <c r="C171" t="n">
        <v>13</v>
      </c>
      <c r="D171">
        <f>HYPERLINK("https://www.google.com/search?q=Banjir+Samarinda+01+Februari+2024", "Cek Google: 01 Februari 2024")</f>
        <v/>
      </c>
      <c r="E171" t="inlineStr"/>
    </row>
    <row r="172">
      <c r="A172" t="inlineStr">
        <is>
          <t>2024-02-10</t>
        </is>
      </c>
      <c r="B172" t="n">
        <v>21.2</v>
      </c>
      <c r="C172" t="n">
        <v>16</v>
      </c>
      <c r="D172">
        <f>HYPERLINK("https://www.google.com/search?q=Banjir+Samarinda+10+Februari+2024", "Cek Google: 10 Februari 2024")</f>
        <v/>
      </c>
      <c r="E172" t="inlineStr"/>
    </row>
    <row r="173">
      <c r="A173" t="inlineStr">
        <is>
          <t>2024-02-11</t>
        </is>
      </c>
      <c r="B173" t="n">
        <v>22.8</v>
      </c>
      <c r="C173" t="n">
        <v>15</v>
      </c>
      <c r="D173">
        <f>HYPERLINK("https://www.google.com/search?q=Banjir+Samarinda+11+Februari+2024", "Cek Google: 11 Februari 2024")</f>
        <v/>
      </c>
      <c r="E173" t="inlineStr"/>
    </row>
    <row r="174">
      <c r="A174" t="inlineStr">
        <is>
          <t>2024-02-25</t>
        </is>
      </c>
      <c r="B174" t="n">
        <v>23.1</v>
      </c>
      <c r="C174" t="n">
        <v>14</v>
      </c>
      <c r="D174">
        <f>HYPERLINK("https://www.google.com/search?q=Banjir+Samarinda+25+Februari+2024", "Cek Google: 25 Februari 2024")</f>
        <v/>
      </c>
      <c r="E174" t="inlineStr"/>
    </row>
    <row r="175">
      <c r="A175" t="inlineStr">
        <is>
          <t>2024-02-26</t>
        </is>
      </c>
      <c r="B175" t="n">
        <v>27.2</v>
      </c>
      <c r="C175" t="n">
        <v>16</v>
      </c>
      <c r="D175">
        <f>HYPERLINK("https://www.google.com/search?q=Banjir+Samarinda+26+Februari+2024", "Cek Google: 26 Februari 2024")</f>
        <v/>
      </c>
      <c r="E175" t="inlineStr"/>
    </row>
    <row r="176">
      <c r="A176" t="inlineStr">
        <is>
          <t>2024-03-13</t>
        </is>
      </c>
      <c r="B176" t="n">
        <v>26.2</v>
      </c>
      <c r="C176" t="n">
        <v>12</v>
      </c>
      <c r="D176">
        <f>HYPERLINK("https://www.google.com/search?q=Banjir+Samarinda+13+Maret+2024", "Cek Google: 13 Maret 2024")</f>
        <v/>
      </c>
      <c r="E176" t="inlineStr"/>
    </row>
    <row r="177">
      <c r="A177" t="inlineStr">
        <is>
          <t>2024-03-27</t>
        </is>
      </c>
      <c r="B177" t="n">
        <v>30</v>
      </c>
      <c r="C177" t="n">
        <v>21</v>
      </c>
      <c r="D177">
        <f>HYPERLINK("https://www.google.com/search?q=Banjir+Samarinda+27+Maret+2024", "Cek Google: 27 Maret 2024")</f>
        <v/>
      </c>
      <c r="E177" t="inlineStr"/>
    </row>
    <row r="178">
      <c r="A178" t="inlineStr">
        <is>
          <t>2024-03-28</t>
        </is>
      </c>
      <c r="B178" t="n">
        <v>27</v>
      </c>
      <c r="C178" t="n">
        <v>19</v>
      </c>
      <c r="D178">
        <f>HYPERLINK("https://www.google.com/search?q=Banjir+Samarinda+28+Maret+2024", "Cek Google: 28 Maret 2024")</f>
        <v/>
      </c>
      <c r="E178" t="inlineStr"/>
    </row>
    <row r="179">
      <c r="A179" t="inlineStr">
        <is>
          <t>2024-04-01</t>
        </is>
      </c>
      <c r="B179" t="n">
        <v>33.5</v>
      </c>
      <c r="C179" t="n">
        <v>11</v>
      </c>
      <c r="D179">
        <f>HYPERLINK("https://www.google.com/search?q=Banjir+Samarinda+01+April+2024", "Cek Google: 01 April 2024")</f>
        <v/>
      </c>
      <c r="E179" t="inlineStr"/>
    </row>
    <row r="180">
      <c r="A180" t="inlineStr">
        <is>
          <t>2024-04-24</t>
        </is>
      </c>
      <c r="B180" t="n">
        <v>25.1</v>
      </c>
      <c r="C180" t="n">
        <v>18</v>
      </c>
      <c r="D180">
        <f>HYPERLINK("https://www.google.com/search?q=Banjir+Samarinda+24+April+2024", "Cek Google: 24 April 2024")</f>
        <v/>
      </c>
      <c r="E180" t="inlineStr"/>
    </row>
    <row r="181">
      <c r="A181" t="inlineStr">
        <is>
          <t>2024-05-05</t>
        </is>
      </c>
      <c r="B181" t="n">
        <v>21.9</v>
      </c>
      <c r="C181" t="n">
        <v>16</v>
      </c>
      <c r="D181">
        <f>HYPERLINK("https://www.google.com/search?q=Banjir+Samarinda+05+Mei+2024", "Cek Google: 05 Mei 2024")</f>
        <v/>
      </c>
      <c r="E181" t="inlineStr"/>
    </row>
    <row r="182">
      <c r="A182" t="inlineStr">
        <is>
          <t>2024-05-08</t>
        </is>
      </c>
      <c r="B182" t="n">
        <v>21.5</v>
      </c>
      <c r="C182" t="n">
        <v>20</v>
      </c>
      <c r="D182">
        <f>HYPERLINK("https://www.google.com/search?q=Banjir+Samarinda+08+Mei+2024", "Cek Google: 08 Mei 2024")</f>
        <v/>
      </c>
      <c r="E182" t="inlineStr"/>
    </row>
    <row r="183">
      <c r="A183" t="inlineStr">
        <is>
          <t>2024-05-09</t>
        </is>
      </c>
      <c r="B183" t="n">
        <v>33.6</v>
      </c>
      <c r="C183" t="n">
        <v>17</v>
      </c>
      <c r="D183">
        <f>HYPERLINK("https://www.google.com/search?q=Banjir+Samarinda+09+Mei+2024", "Cek Google: 09 Mei 2024")</f>
        <v/>
      </c>
      <c r="E183" t="inlineStr"/>
    </row>
    <row r="184">
      <c r="A184" t="inlineStr">
        <is>
          <t>2024-05-11</t>
        </is>
      </c>
      <c r="B184" t="n">
        <v>27.5</v>
      </c>
      <c r="C184" t="n">
        <v>12</v>
      </c>
      <c r="D184">
        <f>HYPERLINK("https://www.google.com/search?q=Banjir+Samarinda+11+Mei+2024", "Cek Google: 11 Mei 2024")</f>
        <v/>
      </c>
      <c r="E184" t="inlineStr"/>
    </row>
    <row r="185">
      <c r="A185" t="inlineStr">
        <is>
          <t>2024-05-15</t>
        </is>
      </c>
      <c r="B185" t="n">
        <v>20.3</v>
      </c>
      <c r="C185" t="n">
        <v>16</v>
      </c>
      <c r="D185">
        <f>HYPERLINK("https://www.google.com/search?q=Banjir+Samarinda+15+Mei+2024", "Cek Google: 15 Mei 2024")</f>
        <v/>
      </c>
      <c r="E185" t="inlineStr"/>
    </row>
    <row r="186">
      <c r="A186" t="inlineStr">
        <is>
          <t>2024-05-26</t>
        </is>
      </c>
      <c r="B186" t="n">
        <v>31.7</v>
      </c>
      <c r="C186" t="n">
        <v>21</v>
      </c>
      <c r="D186">
        <f>HYPERLINK("https://www.google.com/search?q=Banjir+Samarinda+26+Mei+2024", "Cek Google: 26 Mei 2024")</f>
        <v/>
      </c>
      <c r="E186" t="inlineStr"/>
    </row>
    <row r="187">
      <c r="A187" t="inlineStr">
        <is>
          <t>2024-05-31</t>
        </is>
      </c>
      <c r="B187" t="n">
        <v>22.2</v>
      </c>
      <c r="C187" t="n">
        <v>10</v>
      </c>
      <c r="D187">
        <f>HYPERLINK("https://www.google.com/search?q=Banjir+Samarinda+31+Mei+2024", "Cek Google: 31 Mei 2024")</f>
        <v/>
      </c>
      <c r="E187" t="inlineStr"/>
    </row>
    <row r="188">
      <c r="A188" t="inlineStr">
        <is>
          <t>2024-06-01</t>
        </is>
      </c>
      <c r="B188" t="n">
        <v>24.8</v>
      </c>
      <c r="C188" t="n">
        <v>14</v>
      </c>
      <c r="D188">
        <f>HYPERLINK("https://www.google.com/search?q=Banjir+Samarinda+01+Juni+2024", "Cek Google: 01 Juni 2024")</f>
        <v/>
      </c>
      <c r="E188" t="inlineStr"/>
    </row>
    <row r="189">
      <c r="A189" t="inlineStr">
        <is>
          <t>2024-06-02</t>
        </is>
      </c>
      <c r="B189" t="n">
        <v>22</v>
      </c>
      <c r="C189" t="n">
        <v>12</v>
      </c>
      <c r="D189">
        <f>HYPERLINK("https://www.google.com/search?q=Banjir+Samarinda+02+Juni+2024", "Cek Google: 02 Juni 2024")</f>
        <v/>
      </c>
      <c r="E189" t="inlineStr"/>
    </row>
    <row r="190">
      <c r="A190" t="inlineStr">
        <is>
          <t>2024-06-06</t>
        </is>
      </c>
      <c r="B190" t="n">
        <v>26.7</v>
      </c>
      <c r="C190" t="n">
        <v>17</v>
      </c>
      <c r="D190">
        <f>HYPERLINK("https://www.google.com/search?q=Banjir+Samarinda+06+Juni+2024", "Cek Google: 06 Juni 2024")</f>
        <v/>
      </c>
      <c r="E190" t="inlineStr"/>
    </row>
    <row r="191">
      <c r="A191" t="inlineStr">
        <is>
          <t>2024-06-07</t>
        </is>
      </c>
      <c r="B191" t="n">
        <v>27.4</v>
      </c>
      <c r="C191" t="n">
        <v>18</v>
      </c>
      <c r="D191">
        <f>HYPERLINK("https://www.google.com/search?q=Banjir+Samarinda+07+Juni+2024", "Cek Google: 07 Juni 2024")</f>
        <v/>
      </c>
      <c r="E191" t="inlineStr"/>
    </row>
    <row r="192">
      <c r="A192" t="inlineStr">
        <is>
          <t>2024-06-13</t>
        </is>
      </c>
      <c r="B192" t="n">
        <v>20.2</v>
      </c>
      <c r="C192" t="n">
        <v>21</v>
      </c>
      <c r="D192">
        <f>HYPERLINK("https://www.google.com/search?q=Banjir+Samarinda+13+Juni+2024", "Cek Google: 13 Juni 2024")</f>
        <v/>
      </c>
      <c r="E192" t="inlineStr"/>
    </row>
    <row r="193">
      <c r="A193" t="inlineStr">
        <is>
          <t>2024-06-19</t>
        </is>
      </c>
      <c r="B193" t="n">
        <v>49.3</v>
      </c>
      <c r="C193" t="n">
        <v>20</v>
      </c>
      <c r="D193">
        <f>HYPERLINK("https://www.google.com/search?q=Banjir+Samarinda+19+Juni+2024", "Cek Google: 19 Juni 2024")</f>
        <v/>
      </c>
      <c r="E193" t="inlineStr"/>
    </row>
    <row r="194">
      <c r="A194" t="inlineStr">
        <is>
          <t>2024-06-23</t>
        </is>
      </c>
      <c r="B194" t="n">
        <v>31.9</v>
      </c>
      <c r="C194" t="n">
        <v>21</v>
      </c>
      <c r="D194">
        <f>HYPERLINK("https://www.google.com/search?q=Banjir+Samarinda+23+Juni+2024", "Cek Google: 23 Juni 2024")</f>
        <v/>
      </c>
      <c r="E194" t="inlineStr"/>
    </row>
    <row r="195">
      <c r="A195" t="inlineStr">
        <is>
          <t>2024-06-29</t>
        </is>
      </c>
      <c r="B195" t="n">
        <v>23.8</v>
      </c>
      <c r="C195" t="n">
        <v>15</v>
      </c>
      <c r="D195">
        <f>HYPERLINK("https://www.google.com/search?q=Banjir+Samarinda+29+Juni+2024", "Cek Google: 29 Juni 2024")</f>
        <v/>
      </c>
      <c r="E195" t="inlineStr"/>
    </row>
    <row r="196">
      <c r="A196" t="inlineStr">
        <is>
          <t>2024-07-07</t>
        </is>
      </c>
      <c r="B196" t="n">
        <v>43.1</v>
      </c>
      <c r="C196" t="n">
        <v>20</v>
      </c>
      <c r="D196">
        <f>HYPERLINK("https://www.google.com/search?q=Banjir+Samarinda+07+Juli+2024", "Cek Google: 07 Juli 2024")</f>
        <v/>
      </c>
      <c r="E196" t="inlineStr"/>
    </row>
    <row r="197">
      <c r="A197" t="inlineStr">
        <is>
          <t>2024-07-16</t>
        </is>
      </c>
      <c r="B197" t="n">
        <v>22.2</v>
      </c>
      <c r="C197" t="n">
        <v>14</v>
      </c>
      <c r="D197">
        <f>HYPERLINK("https://www.google.com/search?q=Banjir+Samarinda+16+Juli+2024", "Cek Google: 16 Juli 2024")</f>
        <v/>
      </c>
      <c r="E197" t="inlineStr"/>
    </row>
    <row r="198">
      <c r="A198" t="inlineStr">
        <is>
          <t>2024-07-22</t>
        </is>
      </c>
      <c r="B198" t="n">
        <v>23.4</v>
      </c>
      <c r="C198" t="n">
        <v>15</v>
      </c>
      <c r="D198">
        <f>HYPERLINK("https://www.google.com/search?q=Banjir+Samarinda+22+Juli+2024", "Cek Google: 22 Juli 2024")</f>
        <v/>
      </c>
      <c r="E198" t="inlineStr"/>
    </row>
    <row r="199">
      <c r="A199" t="inlineStr">
        <is>
          <t>2024-08-07</t>
        </is>
      </c>
      <c r="B199" t="n">
        <v>36.3</v>
      </c>
      <c r="C199" t="n">
        <v>17</v>
      </c>
      <c r="D199">
        <f>HYPERLINK("https://www.google.com/search?q=Banjir+Samarinda+07+Agustus+2024", "Cek Google: 07 Agustus 2024")</f>
        <v/>
      </c>
      <c r="E199" t="inlineStr"/>
    </row>
    <row r="200">
      <c r="A200" t="inlineStr">
        <is>
          <t>2024-08-15</t>
        </is>
      </c>
      <c r="B200" t="n">
        <v>21.6</v>
      </c>
      <c r="C200" t="n">
        <v>11</v>
      </c>
      <c r="D200">
        <f>HYPERLINK("https://www.google.com/search?q=Banjir+Samarinda+15+Agustus+2024", "Cek Google: 15 Agustus 2024")</f>
        <v/>
      </c>
      <c r="E200" t="inlineStr"/>
    </row>
    <row r="201">
      <c r="A201" t="inlineStr">
        <is>
          <t>2024-08-21</t>
        </is>
      </c>
      <c r="B201" t="n">
        <v>28.2</v>
      </c>
      <c r="C201" t="n">
        <v>20</v>
      </c>
      <c r="D201">
        <f>HYPERLINK("https://www.google.com/search?q=Banjir+Samarinda+21+Agustus+2024", "Cek Google: 21 Agustus 2024")</f>
        <v/>
      </c>
      <c r="E201" t="inlineStr"/>
    </row>
    <row r="202">
      <c r="A202" t="inlineStr">
        <is>
          <t>2024-08-22</t>
        </is>
      </c>
      <c r="B202" t="n">
        <v>43</v>
      </c>
      <c r="C202" t="n">
        <v>24</v>
      </c>
      <c r="D202">
        <f>HYPERLINK("https://www.google.com/search?q=Banjir+Samarinda+22+Agustus+2024", "Cek Google: 22 Agustus 2024")</f>
        <v/>
      </c>
      <c r="E202" t="inlineStr"/>
    </row>
    <row r="203">
      <c r="A203" t="inlineStr">
        <is>
          <t>2024-08-25</t>
        </is>
      </c>
      <c r="B203" t="n">
        <v>24.1</v>
      </c>
      <c r="C203" t="n">
        <v>13</v>
      </c>
      <c r="D203">
        <f>HYPERLINK("https://www.google.com/search?q=Banjir+Samarinda+25+Agustus+2024", "Cek Google: 25 Agustus 2024")</f>
        <v/>
      </c>
      <c r="E203" t="inlineStr"/>
    </row>
    <row r="204">
      <c r="A204" t="inlineStr">
        <is>
          <t>2024-08-26</t>
        </is>
      </c>
      <c r="B204" t="n">
        <v>22.1</v>
      </c>
      <c r="C204" t="n">
        <v>15</v>
      </c>
      <c r="D204">
        <f>HYPERLINK("https://www.google.com/search?q=Banjir+Samarinda+26+Agustus+2024", "Cek Google: 26 Agustus 2024")</f>
        <v/>
      </c>
      <c r="E204" t="inlineStr"/>
    </row>
    <row r="205">
      <c r="A205" t="inlineStr">
        <is>
          <t>2024-08-27</t>
        </is>
      </c>
      <c r="B205" t="n">
        <v>58.8</v>
      </c>
      <c r="C205" t="n">
        <v>18</v>
      </c>
      <c r="D205">
        <f>HYPERLINK("https://www.google.com/search?q=Banjir+Samarinda+27+Agustus+2024", "Cek Google: 27 Agustus 2024")</f>
        <v/>
      </c>
      <c r="E205" t="inlineStr"/>
    </row>
    <row r="206">
      <c r="A206" t="inlineStr">
        <is>
          <t>2024-08-29</t>
        </is>
      </c>
      <c r="B206" t="n">
        <v>29.7</v>
      </c>
      <c r="C206" t="n">
        <v>15</v>
      </c>
      <c r="D206">
        <f>HYPERLINK("https://www.google.com/search?q=Banjir+Samarinda+29+Agustus+2024", "Cek Google: 29 Agustus 2024")</f>
        <v/>
      </c>
      <c r="E206" t="inlineStr"/>
    </row>
    <row r="207">
      <c r="A207" t="inlineStr">
        <is>
          <t>2024-10-03</t>
        </is>
      </c>
      <c r="B207" t="n">
        <v>24.7</v>
      </c>
      <c r="C207" t="n">
        <v>16</v>
      </c>
      <c r="D207">
        <f>HYPERLINK("https://www.google.com/search?q=Banjir+Samarinda+03+Oktober+2024", "Cek Google: 03 Oktober 2024")</f>
        <v/>
      </c>
      <c r="E207" t="inlineStr"/>
    </row>
    <row r="208">
      <c r="A208" t="inlineStr">
        <is>
          <t>2024-10-07</t>
        </is>
      </c>
      <c r="B208" t="n">
        <v>27</v>
      </c>
      <c r="C208" t="n">
        <v>12</v>
      </c>
      <c r="D208">
        <f>HYPERLINK("https://www.google.com/search?q=Banjir+Samarinda+07+Oktober+2024", "Cek Google: 07 Oktober 2024")</f>
        <v/>
      </c>
      <c r="E208" t="inlineStr"/>
    </row>
    <row r="209">
      <c r="A209" t="inlineStr">
        <is>
          <t>2024-10-14</t>
        </is>
      </c>
      <c r="B209" t="n">
        <v>36.1</v>
      </c>
      <c r="C209" t="n">
        <v>17</v>
      </c>
      <c r="D209">
        <f>HYPERLINK("https://www.google.com/search?q=Banjir+Samarinda+14+Oktober+2024", "Cek Google: 14 Oktober 2024")</f>
        <v/>
      </c>
      <c r="E209" t="inlineStr"/>
    </row>
    <row r="210">
      <c r="A210" t="inlineStr">
        <is>
          <t>2024-10-17</t>
        </is>
      </c>
      <c r="B210" t="n">
        <v>34.1</v>
      </c>
      <c r="C210" t="n">
        <v>20</v>
      </c>
      <c r="D210">
        <f>HYPERLINK("https://www.google.com/search?q=Banjir+Samarinda+17+Oktober+2024", "Cek Google: 17 Oktober 2024")</f>
        <v/>
      </c>
      <c r="E210" t="inlineStr"/>
    </row>
    <row r="211">
      <c r="A211" t="inlineStr">
        <is>
          <t>2024-10-21</t>
        </is>
      </c>
      <c r="B211" t="n">
        <v>29.5</v>
      </c>
      <c r="C211" t="n">
        <v>13</v>
      </c>
      <c r="D211">
        <f>HYPERLINK("https://www.google.com/search?q=Banjir+Samarinda+21+Oktober+2024", "Cek Google: 21 Oktober 2024")</f>
        <v/>
      </c>
      <c r="E211" t="inlineStr"/>
    </row>
    <row r="212">
      <c r="A212" t="inlineStr">
        <is>
          <t>2024-11-04</t>
        </is>
      </c>
      <c r="B212" t="n">
        <v>30</v>
      </c>
      <c r="C212" t="n">
        <v>14</v>
      </c>
      <c r="D212">
        <f>HYPERLINK("https://www.google.com/search?q=Banjir+Samarinda+04+November+2024", "Cek Google: 04 November 2024")</f>
        <v/>
      </c>
      <c r="E212" t="inlineStr"/>
    </row>
    <row r="213">
      <c r="A213" t="inlineStr">
        <is>
          <t>2024-11-09</t>
        </is>
      </c>
      <c r="B213" t="n">
        <v>23.1</v>
      </c>
      <c r="C213" t="n">
        <v>14</v>
      </c>
      <c r="D213">
        <f>HYPERLINK("https://www.google.com/search?q=Banjir+Samarinda+09+November+2024", "Cek Google: 09 November 2024")</f>
        <v/>
      </c>
      <c r="E213" t="inlineStr"/>
    </row>
    <row r="214">
      <c r="A214" t="inlineStr">
        <is>
          <t>2024-11-15</t>
        </is>
      </c>
      <c r="B214" t="n">
        <v>21.7</v>
      </c>
      <c r="C214" t="n">
        <v>9</v>
      </c>
      <c r="D214">
        <f>HYPERLINK("https://www.google.com/search?q=Banjir+Samarinda+15+November+2024", "Cek Google: 15 November 2024")</f>
        <v/>
      </c>
      <c r="E214" t="inlineStr"/>
    </row>
    <row r="215">
      <c r="A215" t="inlineStr">
        <is>
          <t>2024-11-17</t>
        </is>
      </c>
      <c r="B215" t="n">
        <v>22.7</v>
      </c>
      <c r="C215" t="n">
        <v>13</v>
      </c>
      <c r="D215">
        <f>HYPERLINK("https://www.google.com/search?q=Banjir+Samarinda+17+November+2024", "Cek Google: 17 November 2024")</f>
        <v/>
      </c>
      <c r="E215" t="inlineStr"/>
    </row>
    <row r="216">
      <c r="A216" t="inlineStr">
        <is>
          <t>2024-11-18</t>
        </is>
      </c>
      <c r="B216" t="n">
        <v>33.2</v>
      </c>
      <c r="C216" t="n">
        <v>18</v>
      </c>
      <c r="D216">
        <f>HYPERLINK("https://www.google.com/search?q=Banjir+Samarinda+18+November+2024", "Cek Google: 18 November 2024")</f>
        <v/>
      </c>
      <c r="E216" t="inlineStr"/>
    </row>
    <row r="217">
      <c r="A217" t="inlineStr">
        <is>
          <t>2024-11-19</t>
        </is>
      </c>
      <c r="B217" t="n">
        <v>25.8</v>
      </c>
      <c r="C217" t="n">
        <v>18</v>
      </c>
      <c r="D217">
        <f>HYPERLINK("https://www.google.com/search?q=Banjir+Samarinda+19+November+2024", "Cek Google: 19 November 2024")</f>
        <v/>
      </c>
      <c r="E217" t="inlineStr"/>
    </row>
    <row r="218">
      <c r="A218" t="inlineStr">
        <is>
          <t>2024-11-26</t>
        </is>
      </c>
      <c r="B218" t="n">
        <v>22.8</v>
      </c>
      <c r="C218" t="n">
        <v>17</v>
      </c>
      <c r="D218">
        <f>HYPERLINK("https://www.google.com/search?q=Banjir+Samarinda+26+November+2024", "Cek Google: 26 November 2024")</f>
        <v/>
      </c>
      <c r="E218" t="inlineStr"/>
    </row>
    <row r="219">
      <c r="A219" t="inlineStr">
        <is>
          <t>2024-12-03</t>
        </is>
      </c>
      <c r="B219" t="n">
        <v>38.3</v>
      </c>
      <c r="C219" t="n">
        <v>20</v>
      </c>
      <c r="D219">
        <f>HYPERLINK("https://www.google.com/search?q=Banjir+Samarinda+03+Desember+2024", "Cek Google: 03 Desember 2024")</f>
        <v/>
      </c>
      <c r="E219" t="inlineStr"/>
    </row>
    <row r="220">
      <c r="A220" t="inlineStr">
        <is>
          <t>2024-12-11</t>
        </is>
      </c>
      <c r="B220" t="n">
        <v>29.8</v>
      </c>
      <c r="C220" t="n">
        <v>14</v>
      </c>
      <c r="D220">
        <f>HYPERLINK("https://www.google.com/search?q=Banjir+Samarinda+11+Desember+2024", "Cek Google: 11 Desember 2024")</f>
        <v/>
      </c>
      <c r="E220" t="inlineStr"/>
    </row>
    <row r="221">
      <c r="A221" t="inlineStr">
        <is>
          <t>2024-12-22</t>
        </is>
      </c>
      <c r="B221" t="n">
        <v>30.8</v>
      </c>
      <c r="C221" t="n">
        <v>14</v>
      </c>
      <c r="D221">
        <f>HYPERLINK("https://www.google.com/search?q=Banjir+Samarinda+22+Desember+2024", "Cek Google: 22 Desember 2024")</f>
        <v/>
      </c>
      <c r="E221" t="inlineStr"/>
    </row>
    <row r="222">
      <c r="A222" t="inlineStr">
        <is>
          <t>2025-01-12</t>
        </is>
      </c>
      <c r="B222" t="n">
        <v>25</v>
      </c>
      <c r="C222" t="n">
        <v>13</v>
      </c>
      <c r="D222">
        <f>HYPERLINK("https://www.google.com/search?q=Banjir+Samarinda+12+Januari+2025", "Cek Google: 12 Januari 2025")</f>
        <v/>
      </c>
      <c r="E222" t="inlineStr"/>
    </row>
    <row r="223">
      <c r="A223" t="inlineStr">
        <is>
          <t>2025-01-14</t>
        </is>
      </c>
      <c r="B223" t="n">
        <v>25</v>
      </c>
      <c r="C223" t="n">
        <v>13</v>
      </c>
      <c r="D223">
        <f>HYPERLINK("https://www.google.com/search?q=Banjir+Samarinda+14+Januari+2025", "Cek Google: 14 Januari 2025")</f>
        <v/>
      </c>
      <c r="E223" t="inlineStr"/>
    </row>
    <row r="224">
      <c r="A224" t="inlineStr">
        <is>
          <t>2025-01-19</t>
        </is>
      </c>
      <c r="B224" t="n">
        <v>33.6</v>
      </c>
      <c r="C224" t="n">
        <v>11</v>
      </c>
      <c r="D224">
        <f>HYPERLINK("https://www.google.com/search?q=Banjir+Samarinda+19+Januari+2025", "Cek Google: 19 Januari 2025")</f>
        <v/>
      </c>
      <c r="E224" t="inlineStr"/>
    </row>
    <row r="225">
      <c r="A225" t="inlineStr">
        <is>
          <t>2025-01-23</t>
        </is>
      </c>
      <c r="B225" t="n">
        <v>21.8</v>
      </c>
      <c r="C225" t="n">
        <v>20</v>
      </c>
      <c r="D225">
        <f>HYPERLINK("https://www.google.com/search?q=Banjir+Samarinda+23+Januari+2025", "Cek Google: 23 Januari 2025")</f>
        <v/>
      </c>
      <c r="E225" t="inlineStr"/>
    </row>
    <row r="226">
      <c r="A226" t="inlineStr">
        <is>
          <t>2025-01-25</t>
        </is>
      </c>
      <c r="B226" t="n">
        <v>20.9</v>
      </c>
      <c r="C226" t="n">
        <v>17</v>
      </c>
      <c r="D226">
        <f>HYPERLINK("https://www.google.com/search?q=Banjir+Samarinda+25+Januari+2025", "Cek Google: 25 Januari 2025")</f>
        <v/>
      </c>
      <c r="E226" t="inlineStr"/>
    </row>
    <row r="227">
      <c r="A227" t="inlineStr">
        <is>
          <t>2025-01-26</t>
        </is>
      </c>
      <c r="B227" t="n">
        <v>71.3</v>
      </c>
      <c r="C227" t="n">
        <v>21</v>
      </c>
      <c r="D227">
        <f>HYPERLINK("https://www.google.com/search?q=Banjir+Samarinda+26+Januari+2025", "Cek Google: 26 Januari 2025")</f>
        <v/>
      </c>
      <c r="E227" t="inlineStr"/>
    </row>
    <row r="228">
      <c r="A228" t="inlineStr">
        <is>
          <t>2025-01-28</t>
        </is>
      </c>
      <c r="B228" t="n">
        <v>55.6</v>
      </c>
      <c r="C228" t="n">
        <v>19</v>
      </c>
      <c r="D228">
        <f>HYPERLINK("https://www.google.com/search?q=Banjir+Samarinda+28+Januari+2025", "Cek Google: 28 Januari 2025")</f>
        <v/>
      </c>
      <c r="E228" t="inlineStr"/>
    </row>
    <row r="229">
      <c r="A229" t="inlineStr">
        <is>
          <t>2025-02-01</t>
        </is>
      </c>
      <c r="B229" t="n">
        <v>24.2</v>
      </c>
      <c r="C229" t="n">
        <v>16</v>
      </c>
      <c r="D229">
        <f>HYPERLINK("https://www.google.com/search?q=Banjir+Samarinda+01+Februari+2025", "Cek Google: 01 Februari 2025")</f>
        <v/>
      </c>
      <c r="E229" t="inlineStr"/>
    </row>
    <row r="230">
      <c r="A230" t="inlineStr">
        <is>
          <t>2025-02-06</t>
        </is>
      </c>
      <c r="B230" t="n">
        <v>33</v>
      </c>
      <c r="C230" t="n">
        <v>18</v>
      </c>
      <c r="D230">
        <f>HYPERLINK("https://www.google.com/search?q=Banjir+Samarinda+06+Februari+2025", "Cek Google: 06 Februari 2025")</f>
        <v/>
      </c>
      <c r="E230" t="inlineStr"/>
    </row>
    <row r="231">
      <c r="A231" t="inlineStr">
        <is>
          <t>2025-02-17</t>
        </is>
      </c>
      <c r="B231" t="n">
        <v>24.3</v>
      </c>
      <c r="C231" t="n">
        <v>15</v>
      </c>
      <c r="D231">
        <f>HYPERLINK("https://www.google.com/search?q=Banjir+Samarinda+17+Februari+2025", "Cek Google: 17 Februari 2025")</f>
        <v/>
      </c>
      <c r="E231" t="inlineStr"/>
    </row>
    <row r="232">
      <c r="A232" t="inlineStr">
        <is>
          <t>2025-02-18</t>
        </is>
      </c>
      <c r="B232" t="n">
        <v>32.2</v>
      </c>
      <c r="C232" t="n">
        <v>15</v>
      </c>
      <c r="D232">
        <f>HYPERLINK("https://www.google.com/search?q=Banjir+Samarinda+18+Februari+2025", "Cek Google: 18 Februari 2025")</f>
        <v/>
      </c>
      <c r="E232" t="inlineStr"/>
    </row>
    <row r="233">
      <c r="A233" t="inlineStr">
        <is>
          <t>2025-03-16</t>
        </is>
      </c>
      <c r="B233" t="n">
        <v>38</v>
      </c>
      <c r="C233" t="n">
        <v>18</v>
      </c>
      <c r="D233">
        <f>HYPERLINK("https://www.google.com/search?q=Banjir+Samarinda+16+Maret+2025", "Cek Google: 16 Maret 2025")</f>
        <v/>
      </c>
      <c r="E233" t="inlineStr"/>
    </row>
    <row r="234">
      <c r="A234" t="inlineStr">
        <is>
          <t>2025-03-17</t>
        </is>
      </c>
      <c r="B234" t="n">
        <v>28.3</v>
      </c>
      <c r="C234" t="n">
        <v>17</v>
      </c>
      <c r="D234">
        <f>HYPERLINK("https://www.google.com/search?q=Banjir+Samarinda+17+Maret+2025", "Cek Google: 17 Maret 2025")</f>
        <v/>
      </c>
      <c r="E234" t="inlineStr"/>
    </row>
    <row r="235">
      <c r="A235" t="inlineStr">
        <is>
          <t>2025-03-19</t>
        </is>
      </c>
      <c r="B235" t="n">
        <v>29.5</v>
      </c>
      <c r="C235" t="n">
        <v>20</v>
      </c>
      <c r="D235">
        <f>HYPERLINK("https://www.google.com/search?q=Banjir+Samarinda+19+Maret+2025", "Cek Google: 19 Maret 2025")</f>
        <v/>
      </c>
      <c r="E235" t="inlineStr"/>
    </row>
    <row r="236">
      <c r="A236" t="inlineStr">
        <is>
          <t>2025-03-20</t>
        </is>
      </c>
      <c r="B236" t="n">
        <v>25.9</v>
      </c>
      <c r="C236" t="n">
        <v>21</v>
      </c>
      <c r="D236">
        <f>HYPERLINK("https://www.google.com/search?q=Banjir+Samarinda+20+Maret+2025", "Cek Google: 20 Maret 2025")</f>
        <v/>
      </c>
      <c r="E236" t="inlineStr"/>
    </row>
    <row r="237">
      <c r="A237" t="inlineStr">
        <is>
          <t>2025-03-27</t>
        </is>
      </c>
      <c r="B237" t="n">
        <v>29.6</v>
      </c>
      <c r="C237" t="n">
        <v>16</v>
      </c>
      <c r="D237">
        <f>HYPERLINK("https://www.google.com/search?q=Banjir+Samarinda+27+Maret+2025", "Cek Google: 27 Maret 2025")</f>
        <v/>
      </c>
      <c r="E237" t="inlineStr"/>
    </row>
    <row r="238">
      <c r="A238" t="inlineStr">
        <is>
          <t>2025-04-06</t>
        </is>
      </c>
      <c r="B238" t="n">
        <v>47.2</v>
      </c>
      <c r="C238" t="n">
        <v>21</v>
      </c>
      <c r="D238">
        <f>HYPERLINK("https://www.google.com/search?q=Banjir+Samarinda+06+April+2025", "Cek Google: 06 April 2025")</f>
        <v/>
      </c>
      <c r="E238" t="inlineStr"/>
    </row>
    <row r="239">
      <c r="A239" t="inlineStr">
        <is>
          <t>2025-04-11</t>
        </is>
      </c>
      <c r="B239" t="n">
        <v>39.3</v>
      </c>
      <c r="C239" t="n">
        <v>23</v>
      </c>
      <c r="D239">
        <f>HYPERLINK("https://www.google.com/search?q=Banjir+Samarinda+11+April+2025", "Cek Google: 11 April 2025")</f>
        <v/>
      </c>
      <c r="E239" t="inlineStr"/>
    </row>
    <row r="240">
      <c r="A240" t="inlineStr">
        <is>
          <t>2025-04-13</t>
        </is>
      </c>
      <c r="B240" t="n">
        <v>32.9</v>
      </c>
      <c r="C240" t="n">
        <v>17</v>
      </c>
      <c r="D240">
        <f>HYPERLINK("https://www.google.com/search?q=Banjir+Samarinda+13+April+2025", "Cek Google: 13 April 2025")</f>
        <v/>
      </c>
      <c r="E240" t="inlineStr"/>
    </row>
    <row r="241">
      <c r="A241" t="inlineStr">
        <is>
          <t>2025-04-14</t>
        </is>
      </c>
      <c r="B241" t="n">
        <v>21.1</v>
      </c>
      <c r="C241" t="n">
        <v>17</v>
      </c>
      <c r="D241">
        <f>HYPERLINK("https://www.google.com/search?q=Banjir+Samarinda+14+April+2025", "Cek Google: 14 April 2025")</f>
        <v/>
      </c>
      <c r="E241" t="inlineStr"/>
    </row>
    <row r="242">
      <c r="A242" t="inlineStr">
        <is>
          <t>2025-04-25</t>
        </is>
      </c>
      <c r="B242" t="n">
        <v>22</v>
      </c>
      <c r="C242" t="n">
        <v>9</v>
      </c>
      <c r="D242">
        <f>HYPERLINK("https://www.google.com/search?q=Banjir+Samarinda+25+April+2025", "Cek Google: 25 April 2025")</f>
        <v/>
      </c>
      <c r="E242" t="inlineStr"/>
    </row>
    <row r="243">
      <c r="A243" t="inlineStr">
        <is>
          <t>2025-05-02</t>
        </is>
      </c>
      <c r="B243" t="n">
        <v>22.4</v>
      </c>
      <c r="C243" t="n">
        <v>16</v>
      </c>
      <c r="D243">
        <f>HYPERLINK("https://www.google.com/search?q=Banjir+Samarinda+02+Mei+2025", "Cek Google: 02 Mei 2025")</f>
        <v/>
      </c>
      <c r="E243" t="inlineStr"/>
    </row>
    <row r="244">
      <c r="A244" t="inlineStr">
        <is>
          <t>2025-05-05</t>
        </is>
      </c>
      <c r="B244" t="n">
        <v>21.5</v>
      </c>
      <c r="C244" t="n">
        <v>12</v>
      </c>
      <c r="D244">
        <f>HYPERLINK("https://www.google.com/search?q=Banjir+Samarinda+05+Mei+2025", "Cek Google: 05 Mei 2025")</f>
        <v/>
      </c>
      <c r="E244" t="inlineStr"/>
    </row>
    <row r="245">
      <c r="A245" t="inlineStr">
        <is>
          <t>2025-05-12</t>
        </is>
      </c>
      <c r="B245" t="n">
        <v>29.8</v>
      </c>
      <c r="C245" t="n">
        <v>15</v>
      </c>
      <c r="D245">
        <f>HYPERLINK("https://www.google.com/search?q=Banjir+Samarinda+12+Mei+2025", "Cek Google: 12 Mei 2025")</f>
        <v/>
      </c>
      <c r="E245" t="inlineStr"/>
    </row>
    <row r="246">
      <c r="A246" t="inlineStr">
        <is>
          <t>2025-05-14</t>
        </is>
      </c>
      <c r="B246" t="n">
        <v>27.2</v>
      </c>
      <c r="C246" t="n">
        <v>15</v>
      </c>
      <c r="D246">
        <f>HYPERLINK("https://www.google.com/search?q=Banjir+Samarinda+14+Mei+2025", "Cek Google: 14 Mei 2025")</f>
        <v/>
      </c>
      <c r="E246" t="inlineStr"/>
    </row>
    <row r="247">
      <c r="A247" t="inlineStr">
        <is>
          <t>2025-05-17</t>
        </is>
      </c>
      <c r="B247" t="n">
        <v>30.1</v>
      </c>
      <c r="C247" t="n">
        <v>17</v>
      </c>
      <c r="D247">
        <f>HYPERLINK("https://www.google.com/search?q=Banjir+Samarinda+17+Mei+2025", "Cek Google: 17 Mei 2025")</f>
        <v/>
      </c>
      <c r="E247" t="inlineStr"/>
    </row>
    <row r="248">
      <c r="A248" t="inlineStr">
        <is>
          <t>2025-05-21</t>
        </is>
      </c>
      <c r="B248" t="n">
        <v>21.2</v>
      </c>
      <c r="C248" t="n">
        <v>18</v>
      </c>
      <c r="D248">
        <f>HYPERLINK("https://www.google.com/search?q=Banjir+Samarinda+21+Mei+2025", "Cek Google: 21 Mei 2025")</f>
        <v/>
      </c>
      <c r="E248" t="inlineStr"/>
    </row>
    <row r="249">
      <c r="A249" t="inlineStr">
        <is>
          <t>2025-05-27</t>
        </is>
      </c>
      <c r="B249" t="n">
        <v>39.3</v>
      </c>
      <c r="C249" t="n">
        <v>16</v>
      </c>
      <c r="D249">
        <f>HYPERLINK("https://www.google.com/search?q=Banjir+Samarinda+27+Mei+2025", "Cek Google: 27 Mei 2025")</f>
        <v/>
      </c>
      <c r="E249" t="inlineStr"/>
    </row>
    <row r="250">
      <c r="A250" t="inlineStr">
        <is>
          <t>2025-05-31</t>
        </is>
      </c>
      <c r="B250" t="n">
        <v>23.2</v>
      </c>
      <c r="C250" t="n">
        <v>14</v>
      </c>
      <c r="D250">
        <f>HYPERLINK("https://www.google.com/search?q=Banjir+Samarinda+31+Mei+2025", "Cek Google: 31 Mei 2025")</f>
        <v/>
      </c>
      <c r="E250" t="inlineStr"/>
    </row>
    <row r="251">
      <c r="A251" t="inlineStr">
        <is>
          <t>2025-07-07</t>
        </is>
      </c>
      <c r="B251" t="n">
        <v>23.4</v>
      </c>
      <c r="C251" t="n">
        <v>19</v>
      </c>
      <c r="D251">
        <f>HYPERLINK("https://www.google.com/search?q=Banjir+Samarinda+07+Juli+2025", "Cek Google: 07 Juli 2025")</f>
        <v/>
      </c>
      <c r="E251" t="inlineStr"/>
    </row>
    <row r="252">
      <c r="A252" t="inlineStr">
        <is>
          <t>2025-08-04</t>
        </is>
      </c>
      <c r="B252" t="n">
        <v>22</v>
      </c>
      <c r="C252" t="n">
        <v>17</v>
      </c>
      <c r="D252">
        <f>HYPERLINK("https://www.google.com/search?q=Banjir+Samarinda+04+Agustus+2025", "Cek Google: 04 Agustus 2025")</f>
        <v/>
      </c>
      <c r="E252" t="inlineStr"/>
    </row>
    <row r="253">
      <c r="A253" t="inlineStr">
        <is>
          <t>2025-08-10</t>
        </is>
      </c>
      <c r="B253" t="n">
        <v>24.9</v>
      </c>
      <c r="C253" t="n">
        <v>13</v>
      </c>
      <c r="D253">
        <f>HYPERLINK("https://www.google.com/search?q=Banjir+Samarinda+10+Agustus+2025", "Cek Google: 10 Agustus 2025")</f>
        <v/>
      </c>
      <c r="E253" t="inlineStr"/>
    </row>
    <row r="254">
      <c r="A254" t="inlineStr">
        <is>
          <t>2025-08-12</t>
        </is>
      </c>
      <c r="B254" t="n">
        <v>20.8</v>
      </c>
      <c r="C254" t="n">
        <v>15</v>
      </c>
      <c r="D254">
        <f>HYPERLINK("https://www.google.com/search?q=Banjir+Samarinda+12+Agustus+2025", "Cek Google: 12 Agustus 2025")</f>
        <v/>
      </c>
      <c r="E254" t="inlineStr"/>
    </row>
    <row r="255">
      <c r="A255" t="inlineStr">
        <is>
          <t>2025-08-17</t>
        </is>
      </c>
      <c r="B255" t="n">
        <v>22.1</v>
      </c>
      <c r="C255" t="n">
        <v>19</v>
      </c>
      <c r="D255">
        <f>HYPERLINK("https://www.google.com/search?q=Banjir+Samarinda+17+Agustus+2025", "Cek Google: 17 Agustus 2025")</f>
        <v/>
      </c>
      <c r="E255" t="inlineStr"/>
    </row>
    <row r="256">
      <c r="A256" t="inlineStr">
        <is>
          <t>2025-08-20</t>
        </is>
      </c>
      <c r="B256" t="n">
        <v>21.7</v>
      </c>
      <c r="C256" t="n">
        <v>16</v>
      </c>
      <c r="D256">
        <f>HYPERLINK("https://www.google.com/search?q=Banjir+Samarinda+20+Agustus+2025", "Cek Google: 20 Agustus 2025")</f>
        <v/>
      </c>
      <c r="E256" t="inlineStr"/>
    </row>
    <row r="257">
      <c r="A257" t="inlineStr">
        <is>
          <t>2025-08-31</t>
        </is>
      </c>
      <c r="B257" t="n">
        <v>30.4</v>
      </c>
      <c r="C257" t="n">
        <v>16</v>
      </c>
      <c r="D257">
        <f>HYPERLINK("https://www.google.com/search?q=Banjir+Samarinda+31+Agustus+2025", "Cek Google: 31 Agustus 2025")</f>
        <v/>
      </c>
      <c r="E257" t="inlineStr"/>
    </row>
    <row r="258">
      <c r="A258" t="inlineStr">
        <is>
          <t>2025-09-06</t>
        </is>
      </c>
      <c r="B258" t="n">
        <v>22.4</v>
      </c>
      <c r="C258" t="n">
        <v>19</v>
      </c>
      <c r="D258">
        <f>HYPERLINK("https://www.google.com/search?q=Banjir+Samarinda+06+September+2025", "Cek Google: 06 September 2025")</f>
        <v/>
      </c>
      <c r="E258" t="inlineStr"/>
    </row>
    <row r="259">
      <c r="A259" t="inlineStr">
        <is>
          <t>2025-09-11</t>
        </is>
      </c>
      <c r="B259" t="n">
        <v>24.6</v>
      </c>
      <c r="C259" t="n">
        <v>16</v>
      </c>
      <c r="D259">
        <f>HYPERLINK("https://www.google.com/search?q=Banjir+Samarinda+11+September+2025", "Cek Google: 11 September 2025")</f>
        <v/>
      </c>
      <c r="E259" t="inlineStr"/>
    </row>
    <row r="260">
      <c r="A260" t="inlineStr">
        <is>
          <t>2025-09-12</t>
        </is>
      </c>
      <c r="B260" t="n">
        <v>23</v>
      </c>
      <c r="C260" t="n">
        <v>16</v>
      </c>
      <c r="D260">
        <f>HYPERLINK("https://www.google.com/search?q=Banjir+Samarinda+12+September+2025", "Cek Google: 12 September 2025")</f>
        <v/>
      </c>
      <c r="E260" t="inlineStr"/>
    </row>
    <row r="261">
      <c r="A261" t="inlineStr">
        <is>
          <t>2025-09-16</t>
        </is>
      </c>
      <c r="B261" t="n">
        <v>23.5</v>
      </c>
      <c r="C261" t="n">
        <v>17</v>
      </c>
      <c r="D261">
        <f>HYPERLINK("https://www.google.com/search?q=Banjir+Samarinda+16+September+2025", "Cek Google: 16 September 2025")</f>
        <v/>
      </c>
      <c r="E261" t="inlineStr"/>
    </row>
    <row r="262">
      <c r="A262" t="inlineStr">
        <is>
          <t>2025-10-04</t>
        </is>
      </c>
      <c r="B262" t="n">
        <v>37.7</v>
      </c>
      <c r="C262" t="n">
        <v>16</v>
      </c>
      <c r="D262">
        <f>HYPERLINK("https://www.google.com/search?q=Banjir+Samarinda+04+Oktober+2025", "Cek Google: 04 Oktober 2025")</f>
        <v/>
      </c>
      <c r="E262" t="inlineStr"/>
    </row>
    <row r="263">
      <c r="A263" t="inlineStr">
        <is>
          <t>2025-10-24</t>
        </is>
      </c>
      <c r="B263" t="n">
        <v>20.3</v>
      </c>
      <c r="C263" t="n">
        <v>11</v>
      </c>
      <c r="D263">
        <f>HYPERLINK("https://www.google.com/search?q=Banjir+Samarinda+24+Oktober+2025", "Cek Google: 24 Oktober 2025")</f>
        <v/>
      </c>
      <c r="E263" t="inlineStr"/>
    </row>
    <row r="264">
      <c r="A264" t="inlineStr">
        <is>
          <t>2025-10-25</t>
        </is>
      </c>
      <c r="B264" t="n">
        <v>23.1</v>
      </c>
      <c r="C264" t="n">
        <v>11</v>
      </c>
      <c r="D264">
        <f>HYPERLINK("https://www.google.com/search?q=Banjir+Samarinda+25+Oktober+2025", "Cek Google: 25 Oktober 2025")</f>
        <v/>
      </c>
      <c r="E264" t="inlineStr"/>
    </row>
    <row r="265">
      <c r="A265" t="inlineStr">
        <is>
          <t>2025-10-26</t>
        </is>
      </c>
      <c r="B265" t="n">
        <v>56.4</v>
      </c>
      <c r="C265" t="n">
        <v>21</v>
      </c>
      <c r="D265">
        <f>HYPERLINK("https://www.google.com/search?q=Banjir+Samarinda+26+Oktober+2025", "Cek Google: 26 Oktober 2025")</f>
        <v/>
      </c>
      <c r="E265" t="inlineStr"/>
    </row>
    <row r="266">
      <c r="A266" t="inlineStr">
        <is>
          <t>2025-11-06</t>
        </is>
      </c>
      <c r="B266" t="n">
        <v>20.9</v>
      </c>
      <c r="C266" t="n">
        <v>13</v>
      </c>
      <c r="D266">
        <f>HYPERLINK("https://www.google.com/search?q=Banjir+Samarinda+06+November+2025", "Cek Google: 06 November 2025")</f>
        <v/>
      </c>
      <c r="E266" t="inlineStr"/>
    </row>
    <row r="267">
      <c r="A267" t="inlineStr">
        <is>
          <t>2025-11-09</t>
        </is>
      </c>
      <c r="B267" t="n">
        <v>20.8</v>
      </c>
      <c r="C267" t="n">
        <v>12</v>
      </c>
      <c r="D267">
        <f>HYPERLINK("https://www.google.com/search?q=Banjir+Samarinda+09+November+2025", "Cek Google: 09 November 2025")</f>
        <v/>
      </c>
      <c r="E267" t="inlineStr"/>
    </row>
    <row r="268">
      <c r="A268" t="inlineStr">
        <is>
          <t>2025-11-24</t>
        </is>
      </c>
      <c r="B268" t="n">
        <v>24.9</v>
      </c>
      <c r="C268" t="n">
        <v>16</v>
      </c>
      <c r="D268">
        <f>HYPERLINK("https://www.google.com/search?q=Banjir+Samarinda+24+November+2025", "Cek Google: 24 November 2025")</f>
        <v/>
      </c>
      <c r="E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2025-12-01T06:38:09Z</dcterms:created>
  <dcterms:modified xmlns:dcterms="http://purl.org/dc/terms/" xmlns:xsi="http://www.w3.org/2001/XMLSchema-instance" xsi:type="dcterms:W3CDTF">2025-12-01T06:38:09Z</dcterms:modified>
</cp:coreProperties>
</file>